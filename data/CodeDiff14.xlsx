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distMetricsResults\"/>
    </mc:Choice>
  </mc:AlternateContent>
  <xr:revisionPtr revIDLastSave="0" documentId="13_ncr:1_{C07763AE-F573-4FD6-BE50-8F9126FD4CD9}" xr6:coauthVersionLast="40" xr6:coauthVersionMax="40" xr10:uidLastSave="{00000000-0000-0000-0000-000000000000}"/>
  <bookViews>
    <workbookView xWindow="0" yWindow="0" windowWidth="15360" windowHeight="7485" activeTab="1" xr2:uid="{00000000-000D-0000-FFFF-FFFF00000000}"/>
  </bookViews>
  <sheets>
    <sheet name="OverAll" sheetId="13" r:id="rId1"/>
    <sheet name="OpenChord" sheetId="14" r:id="rId2"/>
    <sheet name="Thrift" sheetId="4" r:id="rId3"/>
    <sheet name="xSocket" sheetId="3" r:id="rId4"/>
    <sheet name="Voldemort" sheetId="2" r:id="rId5"/>
    <sheet name="Zookeeper" sheetId="1" r:id="rId6"/>
    <sheet name="Netty" sheetId="5" r:id="rId7"/>
    <sheet name="Derby" sheetId="6" r:id="rId8"/>
    <sheet name="Karaf" sheetId="12" r:id="rId9"/>
    <sheet name="Cassandra" sheetId="8" r:id="rId10"/>
    <sheet name="HBase" sheetId="11" r:id="rId11"/>
    <sheet name="XNIO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0" i="1" l="1"/>
  <c r="D29" i="6"/>
  <c r="D39" i="12" l="1"/>
  <c r="D164" i="5" l="1"/>
  <c r="D66" i="3"/>
  <c r="D21" i="4" l="1"/>
  <c r="D12" i="15" l="1"/>
  <c r="D87" i="2" l="1"/>
  <c r="D4" i="12" l="1"/>
  <c r="E4" i="12"/>
  <c r="F4" i="12"/>
  <c r="D3" i="12"/>
  <c r="E3" i="12"/>
  <c r="F3" i="12"/>
  <c r="D2" i="12"/>
  <c r="E2" i="12"/>
  <c r="F2" i="12"/>
  <c r="C4" i="12"/>
  <c r="C3" i="12"/>
  <c r="C2" i="12"/>
  <c r="F7" i="12"/>
  <c r="E15" i="13" l="1"/>
  <c r="F15" i="13"/>
  <c r="C15" i="13"/>
  <c r="C14" i="13"/>
  <c r="F8" i="15"/>
  <c r="F4" i="15" s="1"/>
  <c r="F9" i="15"/>
  <c r="F10" i="15"/>
  <c r="F11" i="15"/>
  <c r="F7" i="15"/>
  <c r="C10" i="15"/>
  <c r="C9" i="15"/>
  <c r="C8" i="15"/>
  <c r="C7" i="15"/>
  <c r="C6" i="15"/>
  <c r="C2" i="15" s="1"/>
  <c r="E4" i="15"/>
  <c r="D4" i="15"/>
  <c r="E3" i="15"/>
  <c r="D3" i="15"/>
  <c r="E2" i="15"/>
  <c r="D2" i="15"/>
  <c r="D15" i="13" s="1"/>
  <c r="F3" i="15" l="1"/>
  <c r="F2" i="15"/>
  <c r="C4" i="15"/>
  <c r="C3" i="15"/>
  <c r="F38" i="8" l="1"/>
  <c r="F37" i="8"/>
  <c r="F36" i="8"/>
  <c r="F35" i="8"/>
  <c r="C35" i="8"/>
  <c r="C36" i="8"/>
  <c r="C37" i="8"/>
  <c r="C34" i="8" l="1"/>
  <c r="F4" i="14" l="1"/>
  <c r="F3" i="14"/>
  <c r="F2" i="14"/>
  <c r="F6" i="13" s="1"/>
  <c r="E4" i="14"/>
  <c r="E3" i="14"/>
  <c r="E2" i="14"/>
  <c r="D4" i="14"/>
  <c r="D3" i="14"/>
  <c r="D2" i="14"/>
  <c r="D6" i="13"/>
  <c r="E6" i="13"/>
  <c r="C6" i="13"/>
  <c r="F7" i="14"/>
  <c r="F8" i="14"/>
  <c r="F9" i="14"/>
  <c r="F10" i="14"/>
  <c r="F11" i="14"/>
  <c r="C4" i="14" l="1"/>
  <c r="C3" i="14"/>
  <c r="C2" i="14"/>
  <c r="C7" i="14"/>
  <c r="C8" i="14"/>
  <c r="C9" i="14"/>
  <c r="C10" i="14"/>
  <c r="C6" i="14"/>
  <c r="C6" i="4"/>
  <c r="D14" i="13" l="1"/>
  <c r="E14" i="13"/>
  <c r="F14" i="13"/>
  <c r="D13" i="13"/>
  <c r="E13" i="13"/>
  <c r="F13" i="13"/>
  <c r="D12" i="13"/>
  <c r="E12" i="13"/>
  <c r="F12" i="13"/>
  <c r="D11" i="13"/>
  <c r="E11" i="13"/>
  <c r="F11" i="13"/>
  <c r="D10" i="13"/>
  <c r="E10" i="13"/>
  <c r="F10" i="13"/>
  <c r="D9" i="13"/>
  <c r="E9" i="13"/>
  <c r="F9" i="13"/>
  <c r="D8" i="13"/>
  <c r="E8" i="13"/>
  <c r="F8" i="13"/>
  <c r="C13" i="13"/>
  <c r="C12" i="13"/>
  <c r="C11" i="13"/>
  <c r="C10" i="13"/>
  <c r="C9" i="13"/>
  <c r="C8" i="13"/>
  <c r="F4" i="11" l="1"/>
  <c r="F3" i="11"/>
  <c r="F2" i="11"/>
  <c r="E4" i="11"/>
  <c r="E3" i="11"/>
  <c r="E2" i="11"/>
  <c r="D4" i="11"/>
  <c r="D3" i="11"/>
  <c r="D2" i="11"/>
  <c r="F8" i="11"/>
  <c r="F9" i="11"/>
  <c r="F10" i="11"/>
  <c r="F11" i="11"/>
  <c r="F12" i="11"/>
  <c r="F13" i="11"/>
  <c r="F14" i="11"/>
  <c r="F7" i="11"/>
  <c r="F4" i="8"/>
  <c r="F3" i="8"/>
  <c r="F2" i="8"/>
  <c r="E4" i="8"/>
  <c r="E3" i="8"/>
  <c r="E2" i="8"/>
  <c r="D4" i="8"/>
  <c r="D3" i="8"/>
  <c r="D2" i="8"/>
  <c r="C4" i="8"/>
  <c r="C3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7" i="8"/>
  <c r="C33" i="8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9" i="12"/>
  <c r="F30" i="12"/>
  <c r="F31" i="12"/>
  <c r="F32" i="12"/>
  <c r="F33" i="12"/>
  <c r="F34" i="12"/>
  <c r="F35" i="12"/>
  <c r="F36" i="12"/>
  <c r="F37" i="12"/>
  <c r="F38" i="12"/>
  <c r="F8" i="12"/>
  <c r="C2" i="8" l="1"/>
  <c r="F4" i="6"/>
  <c r="F3" i="6"/>
  <c r="F2" i="6"/>
  <c r="E4" i="6"/>
  <c r="E3" i="6"/>
  <c r="E2" i="6"/>
  <c r="D4" i="6"/>
  <c r="D3" i="6"/>
  <c r="D2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7" i="6"/>
  <c r="C7" i="6"/>
  <c r="C8" i="6"/>
  <c r="C9" i="6"/>
  <c r="C10" i="6"/>
  <c r="C12" i="6"/>
  <c r="C13" i="6"/>
  <c r="C14" i="6"/>
  <c r="C15" i="6"/>
  <c r="C16" i="6"/>
  <c r="C17" i="6"/>
  <c r="C18" i="6"/>
  <c r="C19" i="6"/>
  <c r="C20" i="6"/>
  <c r="C22" i="6"/>
  <c r="C23" i="6"/>
  <c r="C24" i="6"/>
  <c r="C25" i="6"/>
  <c r="C26" i="6"/>
  <c r="C27" i="6"/>
  <c r="C32" i="8" l="1"/>
  <c r="C31" i="8"/>
  <c r="C30" i="8"/>
  <c r="C29" i="8"/>
  <c r="C28" i="8"/>
  <c r="C27" i="8"/>
  <c r="C26" i="8"/>
  <c r="C25" i="8"/>
  <c r="C24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37" i="12"/>
  <c r="C36" i="12"/>
  <c r="C34" i="12"/>
  <c r="C33" i="12"/>
  <c r="C32" i="12"/>
  <c r="C31" i="12"/>
  <c r="C30" i="12"/>
  <c r="C29" i="12"/>
  <c r="C28" i="12"/>
  <c r="C26" i="12"/>
  <c r="C25" i="12"/>
  <c r="C24" i="12"/>
  <c r="C23" i="12"/>
  <c r="C22" i="12"/>
  <c r="C21" i="12"/>
  <c r="C20" i="12"/>
  <c r="C19" i="12"/>
  <c r="C18" i="12"/>
  <c r="C17" i="12"/>
  <c r="C15" i="12"/>
  <c r="C14" i="12"/>
  <c r="C13" i="12"/>
  <c r="C12" i="12"/>
  <c r="C11" i="12"/>
  <c r="C10" i="12"/>
  <c r="C9" i="12"/>
  <c r="C8" i="12"/>
  <c r="C7" i="12"/>
  <c r="C6" i="6"/>
  <c r="C4" i="6" l="1"/>
  <c r="C2" i="6"/>
  <c r="C3" i="6"/>
  <c r="F4" i="5" l="1"/>
  <c r="F3" i="5"/>
  <c r="F2" i="5"/>
  <c r="E4" i="5"/>
  <c r="E3" i="5"/>
  <c r="E2" i="5"/>
  <c r="D4" i="5"/>
  <c r="D3" i="5"/>
  <c r="D2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7" i="5"/>
  <c r="C12" i="5" l="1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3" i="5"/>
  <c r="C55" i="5"/>
  <c r="C57" i="5"/>
  <c r="C58" i="5"/>
  <c r="C59" i="5"/>
  <c r="C60" i="5"/>
  <c r="C61" i="5"/>
  <c r="C62" i="5"/>
  <c r="C63" i="5"/>
  <c r="C64" i="5"/>
  <c r="C65" i="5"/>
  <c r="C67" i="5"/>
  <c r="C68" i="5"/>
  <c r="C69" i="5"/>
  <c r="C70" i="5"/>
  <c r="C71" i="5"/>
  <c r="C72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0" i="5"/>
  <c r="C9" i="5"/>
  <c r="C8" i="5"/>
  <c r="C7" i="5"/>
  <c r="C6" i="5"/>
  <c r="C4" i="5" l="1"/>
  <c r="C2" i="5"/>
  <c r="C3" i="5"/>
  <c r="C7" i="4" l="1"/>
  <c r="C8" i="4"/>
  <c r="C9" i="4"/>
  <c r="C10" i="4"/>
  <c r="C11" i="4"/>
  <c r="C12" i="4"/>
  <c r="C13" i="4"/>
  <c r="C14" i="4"/>
  <c r="C15" i="4"/>
  <c r="C25" i="4"/>
  <c r="C17" i="4"/>
  <c r="C18" i="4"/>
  <c r="C19" i="4"/>
  <c r="C7" i="3"/>
  <c r="C8" i="3"/>
  <c r="C9" i="3"/>
  <c r="C10" i="3"/>
  <c r="C11" i="3"/>
  <c r="C12" i="3"/>
  <c r="C13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" i="3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6" i="2"/>
  <c r="C7" i="1"/>
  <c r="C8" i="1"/>
  <c r="C9" i="1"/>
  <c r="C11" i="1"/>
  <c r="C12" i="1"/>
  <c r="C13" i="1"/>
  <c r="C14" i="1"/>
  <c r="C15" i="1"/>
  <c r="C16" i="1"/>
  <c r="C17" i="1"/>
  <c r="C18" i="1"/>
  <c r="C19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5" i="1"/>
  <c r="C36" i="1"/>
  <c r="C37" i="1"/>
  <c r="C38" i="1"/>
  <c r="C6" i="1"/>
  <c r="C3" i="4" l="1"/>
  <c r="C2" i="4"/>
  <c r="C7" i="13" s="1"/>
  <c r="F46" i="3"/>
  <c r="F47" i="3"/>
  <c r="F48" i="3"/>
  <c r="F12" i="3"/>
  <c r="F13" i="3"/>
  <c r="F14" i="3"/>
  <c r="D2" i="4"/>
  <c r="D7" i="13" s="1"/>
  <c r="D3" i="4"/>
  <c r="D4" i="4"/>
  <c r="C3" i="13" l="1"/>
  <c r="C2" i="13"/>
  <c r="C4" i="13"/>
  <c r="D4" i="13"/>
  <c r="D2" i="13"/>
  <c r="D3" i="13"/>
  <c r="E4" i="1"/>
  <c r="E3" i="1"/>
  <c r="E2" i="1"/>
  <c r="D4" i="1"/>
  <c r="D3" i="1"/>
  <c r="D2" i="1"/>
  <c r="F8" i="1"/>
  <c r="F9" i="1"/>
  <c r="F10" i="1"/>
  <c r="F12" i="1"/>
  <c r="F13" i="1"/>
  <c r="F14" i="1"/>
  <c r="F15" i="1"/>
  <c r="F16" i="1"/>
  <c r="F17" i="1"/>
  <c r="F18" i="1"/>
  <c r="F19" i="1"/>
  <c r="F20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6" i="1"/>
  <c r="F37" i="1"/>
  <c r="F38" i="1"/>
  <c r="F39" i="1"/>
  <c r="F7" i="1"/>
  <c r="F2" i="1" l="1"/>
  <c r="F3" i="1"/>
  <c r="F4" i="1"/>
  <c r="E4" i="2"/>
  <c r="E3" i="2"/>
  <c r="E2" i="2"/>
  <c r="D4" i="2"/>
  <c r="D3" i="2"/>
  <c r="D2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7" i="2"/>
  <c r="F4" i="2" l="1"/>
  <c r="F2" i="2"/>
  <c r="F3" i="2"/>
  <c r="E4" i="3" l="1"/>
  <c r="E3" i="3"/>
  <c r="E2" i="3"/>
  <c r="D4" i="3"/>
  <c r="D3" i="3"/>
  <c r="D2" i="3"/>
  <c r="F7" i="3"/>
  <c r="F8" i="3"/>
  <c r="F9" i="3"/>
  <c r="F10" i="3"/>
  <c r="F11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3" i="3" l="1"/>
  <c r="F2" i="3"/>
  <c r="F4" i="3"/>
  <c r="E4" i="4"/>
  <c r="E3" i="4"/>
  <c r="E2" i="4"/>
  <c r="E7" i="13" s="1"/>
  <c r="E4" i="13" l="1"/>
  <c r="E2" i="13"/>
  <c r="E3" i="13"/>
  <c r="F8" i="4"/>
  <c r="F9" i="4"/>
  <c r="F10" i="4"/>
  <c r="F11" i="4"/>
  <c r="F12" i="4"/>
  <c r="F13" i="4"/>
  <c r="F14" i="4"/>
  <c r="F15" i="4"/>
  <c r="F25" i="4"/>
  <c r="F17" i="4"/>
  <c r="F18" i="4"/>
  <c r="F19" i="4"/>
  <c r="F20" i="4"/>
  <c r="F7" i="4"/>
  <c r="C3" i="1" l="1"/>
  <c r="C4" i="1"/>
  <c r="C2" i="1"/>
  <c r="C4" i="2"/>
  <c r="C2" i="3"/>
  <c r="F2" i="4"/>
  <c r="F7" i="13" s="1"/>
  <c r="F4" i="4"/>
  <c r="F3" i="4"/>
  <c r="C3" i="3"/>
  <c r="C4" i="3"/>
  <c r="C2" i="2"/>
  <c r="C4" i="4"/>
  <c r="C3" i="2"/>
  <c r="F3" i="13" l="1"/>
  <c r="F2" i="13"/>
  <c r="F4" i="13"/>
</calcChain>
</file>

<file path=xl/sharedStrings.xml><?xml version="1.0" encoding="utf-8"?>
<sst xmlns="http://schemas.openxmlformats.org/spreadsheetml/2006/main" count="607" uniqueCount="469">
  <si>
    <t>DateDiff</t>
  </si>
  <si>
    <t>Average</t>
  </si>
  <si>
    <t>Median</t>
  </si>
  <si>
    <t>Stdev</t>
  </si>
  <si>
    <t>Version</t>
  </si>
  <si>
    <t>Start_Date</t>
  </si>
  <si>
    <t>V0.9-beta-1</t>
  </si>
  <si>
    <t>V1.5.1</t>
  </si>
  <si>
    <t>V1.0-beta-1</t>
  </si>
  <si>
    <t>V1.5.2</t>
  </si>
  <si>
    <t>V3.0.0</t>
  </si>
  <si>
    <t>V1.0-beta-2</t>
  </si>
  <si>
    <t>V1.5.4</t>
  </si>
  <si>
    <t>V1.0-beta-3</t>
  </si>
  <si>
    <t>V1.5.7</t>
  </si>
  <si>
    <t>V3.0.1</t>
  </si>
  <si>
    <t>V1.0-beta-4</t>
  </si>
  <si>
    <t>V3.1.0</t>
  </si>
  <si>
    <t>V1.5.8</t>
  </si>
  <si>
    <t>V1.0</t>
  </si>
  <si>
    <t>V1.1</t>
  </si>
  <si>
    <t>V1.5.9</t>
  </si>
  <si>
    <t>V3.1.1</t>
  </si>
  <si>
    <t>V1.2</t>
  </si>
  <si>
    <t>V3.1.2</t>
  </si>
  <si>
    <t>V1.6.0</t>
  </si>
  <si>
    <t>V1.2.1</t>
  </si>
  <si>
    <t>V3.2.0</t>
  </si>
  <si>
    <t>V2.0-alpha-1</t>
  </si>
  <si>
    <t>V3.2.1</t>
  </si>
  <si>
    <t>V1.6.1</t>
  </si>
  <si>
    <t>V2.0-alpha-2</t>
  </si>
  <si>
    <t>V3.2.2</t>
  </si>
  <si>
    <t>V2.0-beta-1</t>
  </si>
  <si>
    <t>V1.6.2</t>
  </si>
  <si>
    <t>V3.3.0</t>
  </si>
  <si>
    <t>V2.0-beta-2</t>
  </si>
  <si>
    <t>V1.6.3</t>
  </si>
  <si>
    <t>V2.0</t>
  </si>
  <si>
    <t>V1.6.4</t>
  </si>
  <si>
    <t>V3.3.1</t>
  </si>
  <si>
    <t>V2.1</t>
  </si>
  <si>
    <t>V1.6.6</t>
  </si>
  <si>
    <t>V3.3.2</t>
  </si>
  <si>
    <t>V2.1.1</t>
  </si>
  <si>
    <t>V1.6.8</t>
  </si>
  <si>
    <t>V2.1.2</t>
  </si>
  <si>
    <t>V3.3.3</t>
  </si>
  <si>
    <t>V1.7.0</t>
  </si>
  <si>
    <t>V2.2</t>
  </si>
  <si>
    <t>V3.3.4</t>
  </si>
  <si>
    <t>V2.3</t>
  </si>
  <si>
    <t>V1.7.1</t>
  </si>
  <si>
    <t>V3.3.5</t>
  </si>
  <si>
    <t>V2.3.1</t>
  </si>
  <si>
    <t>V1.7.2</t>
  </si>
  <si>
    <t>V2.3.2</t>
  </si>
  <si>
    <t>V3.3.6</t>
  </si>
  <si>
    <t>V3.4.0</t>
  </si>
  <si>
    <t>V1.7.3</t>
  </si>
  <si>
    <t>V2.4</t>
  </si>
  <si>
    <t>V1.8.1</t>
  </si>
  <si>
    <t>V2.4.1</t>
  </si>
  <si>
    <t>V2.4.2</t>
  </si>
  <si>
    <t>V2.4.3</t>
  </si>
  <si>
    <t>V1.8.3</t>
  </si>
  <si>
    <t>V3.4.1</t>
  </si>
  <si>
    <t>V2.4.4</t>
  </si>
  <si>
    <t>V1.8.4</t>
  </si>
  <si>
    <t>V2.4.5</t>
  </si>
  <si>
    <t>V3.4.2</t>
  </si>
  <si>
    <t>V1.8.5</t>
  </si>
  <si>
    <t>V2.4.6</t>
  </si>
  <si>
    <t>V3.4.3</t>
  </si>
  <si>
    <t>V1.8.8</t>
  </si>
  <si>
    <t>V3.4.4</t>
  </si>
  <si>
    <t>V2.5</t>
  </si>
  <si>
    <t>V1.8.9</t>
  </si>
  <si>
    <t>V3.4.5</t>
  </si>
  <si>
    <t>V2.5.1</t>
  </si>
  <si>
    <t>V1.8.10</t>
  </si>
  <si>
    <t>V2.5.2</t>
  </si>
  <si>
    <t>V1.8.11</t>
  </si>
  <si>
    <t>V3.4.6</t>
  </si>
  <si>
    <t>V2.5.3</t>
  </si>
  <si>
    <t>V1.8.12</t>
  </si>
  <si>
    <t>V3.4.8</t>
  </si>
  <si>
    <t>V2.5.4</t>
  </si>
  <si>
    <t>V1.8.13</t>
  </si>
  <si>
    <t>V3.4.9</t>
  </si>
  <si>
    <t>V2.5.5</t>
  </si>
  <si>
    <t>V1.8.14</t>
  </si>
  <si>
    <t>V3.4.10</t>
  </si>
  <si>
    <t>V2.6.0</t>
  </si>
  <si>
    <t>V1.8.15</t>
  </si>
  <si>
    <t>V2.6.1</t>
  </si>
  <si>
    <t>V3.4.11</t>
  </si>
  <si>
    <t>V1.8.16</t>
  </si>
  <si>
    <t>V3.4.12</t>
  </si>
  <si>
    <t>V2.6.2</t>
  </si>
  <si>
    <t>V1.9.0</t>
  </si>
  <si>
    <t>V2.6.3</t>
  </si>
  <si>
    <t>V3.4.13</t>
  </si>
  <si>
    <t>V2.6.4</t>
  </si>
  <si>
    <t>V1.9.1</t>
  </si>
  <si>
    <t>V2.6.5</t>
  </si>
  <si>
    <t>V1.9.2</t>
  </si>
  <si>
    <t>V3.5.0</t>
  </si>
  <si>
    <t>V2.6.6</t>
  </si>
  <si>
    <t>V1.9.3</t>
  </si>
  <si>
    <t>V2.7</t>
  </si>
  <si>
    <t>V1.9.4</t>
  </si>
  <si>
    <t>V2.7.1</t>
  </si>
  <si>
    <t>V1.9.5</t>
  </si>
  <si>
    <t>V2.7.2</t>
  </si>
  <si>
    <t>V1.9.6</t>
  </si>
  <si>
    <t>V3.5.1</t>
  </si>
  <si>
    <t>V2.8</t>
  </si>
  <si>
    <t>V1.9.7</t>
  </si>
  <si>
    <t>V3.5.2</t>
  </si>
  <si>
    <t>V1.9.8</t>
  </si>
  <si>
    <t>V3.5.3</t>
  </si>
  <si>
    <t>V1.9.9</t>
  </si>
  <si>
    <t>V2.8.1</t>
  </si>
  <si>
    <t>V3.5.4</t>
  </si>
  <si>
    <t>V1.9.10</t>
  </si>
  <si>
    <t>V2.8.2</t>
  </si>
  <si>
    <t>V1.9.11</t>
  </si>
  <si>
    <t>V2.8.3</t>
  </si>
  <si>
    <t>V1.9.12</t>
  </si>
  <si>
    <t>V2.8.4</t>
  </si>
  <si>
    <t>V1.9.13</t>
  </si>
  <si>
    <t>V2.8.5</t>
  </si>
  <si>
    <t>V1.9.14</t>
  </si>
  <si>
    <t>V2.8.6</t>
  </si>
  <si>
    <t>V1.9.15</t>
  </si>
  <si>
    <t>V2.8.7</t>
  </si>
  <si>
    <t>V1.9.16</t>
  </si>
  <si>
    <t>V2.8.8</t>
  </si>
  <si>
    <t>V1.9.17</t>
  </si>
  <si>
    <t>V2.8.9</t>
  </si>
  <si>
    <t>V2.8.10</t>
  </si>
  <si>
    <t>V1.9.18</t>
  </si>
  <si>
    <t>V2.8.11</t>
  </si>
  <si>
    <t>V1.9.19</t>
  </si>
  <si>
    <t>V2.8.12</t>
  </si>
  <si>
    <t>V1.9.20</t>
  </si>
  <si>
    <t>V2.8.13</t>
  </si>
  <si>
    <t>V1.9.21</t>
  </si>
  <si>
    <t>V2.8.14</t>
  </si>
  <si>
    <t>V2.8.15</t>
  </si>
  <si>
    <t>V1.9.22</t>
  </si>
  <si>
    <t>V1.10.0</t>
  </si>
  <si>
    <t>V1.10.1</t>
  </si>
  <si>
    <t>V1.10.2</t>
  </si>
  <si>
    <t>V1.10.3</t>
  </si>
  <si>
    <t>V1.10.4</t>
  </si>
  <si>
    <t>V1.10.5</t>
  </si>
  <si>
    <t>V1.10.6</t>
  </si>
  <si>
    <t>V1.10.7</t>
  </si>
  <si>
    <t>V1.10.8</t>
  </si>
  <si>
    <t>V1.10.9</t>
  </si>
  <si>
    <t>V1.10.10</t>
  </si>
  <si>
    <t>V1.10.11</t>
  </si>
  <si>
    <t>V1.10.12</t>
  </si>
  <si>
    <t>V1.10.13</t>
  </si>
  <si>
    <t>V1.10.14</t>
  </si>
  <si>
    <t>V1.10.15</t>
  </si>
  <si>
    <t>V1.10.16</t>
  </si>
  <si>
    <t>V1.10.17</t>
  </si>
  <si>
    <t>V1.10.18</t>
  </si>
  <si>
    <t>V1.10.19</t>
  </si>
  <si>
    <t>V1.10.20</t>
  </si>
  <si>
    <t>V1.10.21</t>
  </si>
  <si>
    <t>V1.10.22</t>
  </si>
  <si>
    <t>V1.10.23</t>
  </si>
  <si>
    <t>V1.10.24</t>
  </si>
  <si>
    <t>V1.10.25</t>
  </si>
  <si>
    <t>V1.10.26</t>
  </si>
  <si>
    <t>V0.2.0</t>
  </si>
  <si>
    <t>V0.3.0</t>
  </si>
  <si>
    <t>V0.4.0</t>
  </si>
  <si>
    <t>V0.5.0</t>
  </si>
  <si>
    <t>V0.6.0</t>
  </si>
  <si>
    <t>V0.6.1</t>
  </si>
  <si>
    <t>V0.7.0</t>
  </si>
  <si>
    <t>V0.8.0</t>
  </si>
  <si>
    <t>V0.9.0</t>
  </si>
  <si>
    <t>V0.9.1</t>
  </si>
  <si>
    <t>hier</t>
  </si>
  <si>
    <t>V0.9.2</t>
  </si>
  <si>
    <t>V0.9.3</t>
  </si>
  <si>
    <t>V0.10.0</t>
  </si>
  <si>
    <t>V0.11.0</t>
  </si>
  <si>
    <t>V1.4.0</t>
  </si>
  <si>
    <t>3.1.0</t>
  </si>
  <si>
    <t>3.1.1</t>
  </si>
  <si>
    <t>3.1.2</t>
  </si>
  <si>
    <t>3.1.3</t>
  </si>
  <si>
    <t>3.1.4</t>
  </si>
  <si>
    <t>3.1.5</t>
  </si>
  <si>
    <t>3.2.0</t>
  </si>
  <si>
    <t>3.2.1</t>
  </si>
  <si>
    <t>3.2.2</t>
  </si>
  <si>
    <t>3.2.3</t>
  </si>
  <si>
    <t>3.2.4</t>
  </si>
  <si>
    <t>3.2.5</t>
  </si>
  <si>
    <t>3.2.6</t>
  </si>
  <si>
    <t>3.2.7</t>
  </si>
  <si>
    <t>V3.4.7</t>
  </si>
  <si>
    <t>Code</t>
  </si>
  <si>
    <t>3.3.0</t>
  </si>
  <si>
    <t>3.3.1</t>
  </si>
  <si>
    <t>3.4.0</t>
  </si>
  <si>
    <t>3.4.1</t>
  </si>
  <si>
    <t>3.4.2</t>
  </si>
  <si>
    <t>3.4.3</t>
  </si>
  <si>
    <t>3.4.4</t>
  </si>
  <si>
    <t>3.4.5</t>
  </si>
  <si>
    <t>3.4.6</t>
  </si>
  <si>
    <t>3.5.0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</si>
  <si>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</si>
  <si>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</si>
  <si>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</si>
  <si>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</si>
  <si>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</si>
  <si>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</si>
  <si>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</si>
  <si>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</si>
  <si>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3.5.9</t>
  </si>
  <si>
    <t>3.5.10</t>
  </si>
  <si>
    <t>3.5.11</t>
  </si>
  <si>
    <t>3.5.12</t>
  </si>
  <si>
    <t>3.5.13</t>
  </si>
  <si>
    <t>3.6.0</t>
  </si>
  <si>
    <t>3.6.1</t>
  </si>
  <si>
    <t>3.6.2</t>
  </si>
  <si>
    <t>3.6.3</t>
  </si>
  <si>
    <t>3.6.4</t>
  </si>
  <si>
    <t>3.6.5</t>
  </si>
  <si>
    <t>3.6.6</t>
  </si>
  <si>
    <t>3.6.7</t>
  </si>
  <si>
    <t>3.6.8</t>
  </si>
  <si>
    <t>3.6.9</t>
  </si>
  <si>
    <t>3.7.0</t>
  </si>
  <si>
    <t>3.7.1</t>
  </si>
  <si>
    <t>3.8.0</t>
  </si>
  <si>
    <t>3.8.2</t>
  </si>
  <si>
    <t>3.9.0</t>
  </si>
  <si>
    <t>3.9.1</t>
  </si>
  <si>
    <t>3.9.2</t>
  </si>
  <si>
    <t>3.9.3</t>
  </si>
  <si>
    <t>3.9.4</t>
  </si>
  <si>
    <t>3.9.5</t>
  </si>
  <si>
    <t>3.9.6</t>
  </si>
  <si>
    <t>3.9.7</t>
  </si>
  <si>
    <t>3.9.8</t>
  </si>
  <si>
    <t>3.9.9</t>
  </si>
  <si>
    <t>3.10.0</t>
  </si>
  <si>
    <t>3.10.1</t>
  </si>
  <si>
    <t>3.10.2</t>
  </si>
  <si>
    <t>3.10.3</t>
  </si>
  <si>
    <t>3.10.4</t>
  </si>
  <si>
    <t>3.10.5</t>
  </si>
  <si>
    <t>3.10.6</t>
  </si>
  <si>
    <t>4.0.0</t>
  </si>
  <si>
    <t>4.0.1</t>
  </si>
  <si>
    <t>4.0.2</t>
  </si>
  <si>
    <t>4.0.3</t>
  </si>
  <si>
    <t>4.0.4</t>
  </si>
  <si>
    <t>4.0.6</t>
  </si>
  <si>
    <t>4.0.7</t>
  </si>
  <si>
    <t>4.0.8</t>
  </si>
  <si>
    <t>4.0.9</t>
  </si>
  <si>
    <t>4.0.10</t>
  </si>
  <si>
    <t>4.0.11</t>
  </si>
  <si>
    <t>4.0.12</t>
  </si>
  <si>
    <t>4.0.13</t>
  </si>
  <si>
    <t>4.0.14</t>
  </si>
  <si>
    <t>4.0.15</t>
  </si>
  <si>
    <t>4.0.17</t>
  </si>
  <si>
    <t>4.0.18</t>
  </si>
  <si>
    <t>4.0.19</t>
  </si>
  <si>
    <t>4.0.20</t>
  </si>
  <si>
    <t>4.0.21</t>
  </si>
  <si>
    <t>4.0.22</t>
  </si>
  <si>
    <t>4.0.23</t>
  </si>
  <si>
    <t>4.0.24</t>
  </si>
  <si>
    <t>4.0.25</t>
  </si>
  <si>
    <t>4.0.27</t>
  </si>
  <si>
    <t>4.0.28</t>
  </si>
  <si>
    <t>4.0.29</t>
  </si>
  <si>
    <t>4.0.30</t>
  </si>
  <si>
    <t>4.0.31</t>
  </si>
  <si>
    <t>4.0.32</t>
  </si>
  <si>
    <t>4.0.33</t>
  </si>
  <si>
    <t>4.0.34</t>
  </si>
  <si>
    <t>4.0.35</t>
  </si>
  <si>
    <t>4.0.36</t>
  </si>
  <si>
    <t>4.0.37</t>
  </si>
  <si>
    <t>4.0.38</t>
  </si>
  <si>
    <t>4.0.39</t>
  </si>
  <si>
    <t>4.0.40</t>
  </si>
  <si>
    <t>4.0.41</t>
  </si>
  <si>
    <t>4.0.42</t>
  </si>
  <si>
    <t>4.0.43</t>
  </si>
  <si>
    <t>4.0.44</t>
  </si>
  <si>
    <t>4.0.45</t>
  </si>
  <si>
    <t>4.0.46</t>
  </si>
  <si>
    <t>4.0.47</t>
  </si>
  <si>
    <t>4.0.48</t>
  </si>
  <si>
    <t>4.0.49</t>
  </si>
  <si>
    <t>4.0.50</t>
  </si>
  <si>
    <t>4.0.51</t>
  </si>
  <si>
    <t>4.0.52</t>
  </si>
  <si>
    <t>4.0.53</t>
  </si>
  <si>
    <t>4.0.54</t>
  </si>
  <si>
    <t>4.0.55</t>
  </si>
  <si>
    <t>4.0.56</t>
  </si>
  <si>
    <t>4.1.0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</si>
  <si>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</si>
  <si>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</si>
  <si>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</si>
  <si>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</si>
  <si>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</si>
  <si>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</si>
  <si>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</si>
  <si>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</si>
  <si>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</si>
  <si>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</si>
  <si>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</si>
  <si>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</si>
  <si>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</si>
  <si>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</si>
  <si>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</si>
  <si>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</si>
  <si>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</si>
  <si>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</si>
  <si>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</si>
  <si>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t>4.1.20</t>
  </si>
  <si>
    <t>4.1.21</t>
  </si>
  <si>
    <t>4.1.22</t>
  </si>
  <si>
    <t>4.1.23</t>
  </si>
  <si>
    <t>4.1.24</t>
  </si>
  <si>
    <t>4.1.25</t>
  </si>
  <si>
    <t>4.1.26</t>
  </si>
  <si>
    <t>4.1.27</t>
  </si>
  <si>
    <t>4.1.28</t>
  </si>
  <si>
    <t>4.1.29</t>
  </si>
  <si>
    <t>4.1.30</t>
  </si>
  <si>
    <t>4.1.31</t>
  </si>
  <si>
    <t>4.1.32</t>
  </si>
  <si>
    <t>4.0.5</t>
  </si>
  <si>
    <t>4.0.16</t>
  </si>
  <si>
    <t>4.0.26</t>
  </si>
  <si>
    <t xml:space="preserve">10.1.1.0 </t>
  </si>
  <si>
    <t>10.1.2.1</t>
  </si>
  <si>
    <t>10.1.3.1</t>
  </si>
  <si>
    <t xml:space="preserve">10.2.2.0 </t>
  </si>
  <si>
    <t>10.4.1.3</t>
  </si>
  <si>
    <t xml:space="preserve">10.3.3.0 </t>
  </si>
  <si>
    <t>10.4.2.0</t>
  </si>
  <si>
    <t>10.5.1.1</t>
  </si>
  <si>
    <t xml:space="preserve">10.5.3.0 </t>
  </si>
  <si>
    <t xml:space="preserve">10.6.1.0 </t>
  </si>
  <si>
    <t>10.6.2.1</t>
  </si>
  <si>
    <t>10.7.1.1</t>
  </si>
  <si>
    <t>10.8.1.2</t>
  </si>
  <si>
    <t>10.8.2.2</t>
  </si>
  <si>
    <t xml:space="preserve">10.8.3.0 </t>
  </si>
  <si>
    <t xml:space="preserve">10.9.1.0 </t>
  </si>
  <si>
    <t>10.10.1.1</t>
  </si>
  <si>
    <t>10.10.2.0</t>
  </si>
  <si>
    <t>10.11.1.1</t>
  </si>
  <si>
    <t>10.12.1.1</t>
  </si>
  <si>
    <t>10.13.1.1</t>
  </si>
  <si>
    <t>3.0.0</t>
  </si>
  <si>
    <t>3.0.1</t>
  </si>
  <si>
    <t>3.0.2</t>
  </si>
  <si>
    <t>3.0.3</t>
  </si>
  <si>
    <t>3.0.4</t>
  </si>
  <si>
    <t>3.0.5</t>
  </si>
  <si>
    <t>3.0.6</t>
  </si>
  <si>
    <t>3.0.7</t>
  </si>
  <si>
    <t>3.0.8</t>
  </si>
  <si>
    <t>3.0.9</t>
  </si>
  <si>
    <t>4.2.0</t>
  </si>
  <si>
    <t>4.2.1</t>
  </si>
  <si>
    <t>4.2.2</t>
  </si>
  <si>
    <t>1.0.0</t>
  </si>
  <si>
    <t>1.0.1</t>
  </si>
  <si>
    <t>1.0.3</t>
  </si>
  <si>
    <t>1.1.0</t>
  </si>
  <si>
    <t>1.2.8</t>
  </si>
  <si>
    <t>1.2.9</t>
  </si>
  <si>
    <t>2.0.3</t>
  </si>
  <si>
    <t>2.1.1</t>
  </si>
  <si>
    <t>7/5/2016</t>
  </si>
  <si>
    <t>10/4/2017</t>
  </si>
  <si>
    <t>5/4/2018</t>
  </si>
  <si>
    <t>8/1/2018</t>
  </si>
  <si>
    <t>11/9/2015</t>
  </si>
  <si>
    <t>12/8/2015</t>
  </si>
  <si>
    <t>12/21/2015</t>
  </si>
  <si>
    <t>2/9/2016</t>
  </si>
  <si>
    <t>3/8/2016</t>
  </si>
  <si>
    <t>4/11/2016</t>
  </si>
  <si>
    <t>5/13/2016</t>
  </si>
  <si>
    <t>6/13/2016</t>
  </si>
  <si>
    <t>9/19/2016</t>
  </si>
  <si>
    <t>3.0.10</t>
  </si>
  <si>
    <t>11/16/2016</t>
  </si>
  <si>
    <t>3.0.11</t>
  </si>
  <si>
    <t>2/21/2017</t>
  </si>
  <si>
    <t>3.0.12</t>
  </si>
  <si>
    <t>3/10/2017</t>
  </si>
  <si>
    <t>3.0.13</t>
  </si>
  <si>
    <t>4/14/2017</t>
  </si>
  <si>
    <t>3.0.14</t>
  </si>
  <si>
    <t>3.0.15</t>
  </si>
  <si>
    <t>3.0.16</t>
  </si>
  <si>
    <t>3.0.17</t>
  </si>
  <si>
    <t>1/11/2016</t>
  </si>
  <si>
    <t>1/19/2016</t>
  </si>
  <si>
    <t>4/13/2016</t>
  </si>
  <si>
    <t>6/6/2016</t>
  </si>
  <si>
    <t>9/29/2016</t>
  </si>
  <si>
    <t>3.10</t>
  </si>
  <si>
    <t>2/3/2017</t>
  </si>
  <si>
    <t>5/9/2016</t>
  </si>
  <si>
    <t>2/21/2015</t>
  </si>
  <si>
    <t>4/28/2015</t>
  </si>
  <si>
    <t>5/14/2015</t>
  </si>
  <si>
    <t>10/20/2018</t>
  </si>
  <si>
    <t>11/27/2018</t>
  </si>
  <si>
    <t>1.4.9</t>
  </si>
  <si>
    <t>12/14/2018</t>
  </si>
  <si>
    <t>12/3/2018</t>
  </si>
  <si>
    <t>10/31/2018</t>
  </si>
  <si>
    <t>10.2.1.6</t>
  </si>
  <si>
    <t>CodeDiff</t>
  </si>
  <si>
    <t>Ratio(CodeDiff/Code)</t>
  </si>
  <si>
    <t>Subject</t>
  </si>
  <si>
    <t>Thrift</t>
  </si>
  <si>
    <t>xSocket</t>
  </si>
  <si>
    <t>Voldemort</t>
  </si>
  <si>
    <t>ZooKeeper</t>
  </si>
  <si>
    <t>Netty</t>
  </si>
  <si>
    <t>Derby</t>
  </si>
  <si>
    <t>Karaf</t>
  </si>
  <si>
    <t>Cassandra</t>
  </si>
  <si>
    <t>v1.0</t>
  </si>
  <si>
    <t>v1.0.1</t>
  </si>
  <si>
    <t>v1.0.2</t>
  </si>
  <si>
    <t>v1.0.3</t>
  </si>
  <si>
    <t>v1.0.4</t>
  </si>
  <si>
    <t>v1.0.5</t>
  </si>
  <si>
    <t>OpenChord</t>
  </si>
  <si>
    <t>3.11.0</t>
  </si>
  <si>
    <t>3.11.1</t>
  </si>
  <si>
    <t>3.11.2</t>
  </si>
  <si>
    <t>3.11.3</t>
  </si>
  <si>
    <t>2.0.0</t>
  </si>
  <si>
    <t>2.0.1</t>
  </si>
  <si>
    <t>2.0.2</t>
  </si>
  <si>
    <t>1.2.0</t>
  </si>
  <si>
    <t>XNIO</t>
  </si>
  <si>
    <t>2.4.4</t>
  </si>
  <si>
    <t>10.14.2.0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</si>
</sst>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name val="Calibri"/>
      <family val="2"/>
    </font>
    <font>
      <sz val="10"/>
      <color rgb="FF000000"/>
      <name val="Arial Unicode MS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14" fontId="0" fillId="0" borderId="0" xfId="0" applyNumberFormat="1" applyFont="1"/>
    <xf numFmtId="0" fontId="1" fillId="0" borderId="0" xfId="0" applyFont="1" applyAlignment="1"/>
    <xf numFmtId="14" fontId="1" fillId="0" borderId="0" xfId="0" applyNumberFormat="1" applyFont="1"/>
    <xf numFmtId="14" fontId="0" fillId="0" borderId="0" xfId="0" applyNumberFormat="1" applyFont="1" applyAlignment="1"/>
    <xf numFmtId="0" fontId="0" fillId="0" borderId="1" xfId="0" applyFont="1" applyBorder="1" applyAlignment="1"/>
    <xf numFmtId="14" fontId="0" fillId="0" borderId="1" xfId="0" applyNumberFormat="1" applyFont="1" applyBorder="1"/>
    <xf numFmtId="14" fontId="2" fillId="0" borderId="0" xfId="0" applyNumberFormat="1" applyFont="1" applyAlignment="1">
      <alignment vertical="center"/>
    </xf>
    <xf numFmtId="49" fontId="0" fillId="0" borderId="0" xfId="0" applyNumberFormat="1"/>
    <xf numFmtId="0" fontId="0" fillId="0" borderId="0" xfId="0"/>
    <xf numFmtId="14" fontId="0" fillId="0" borderId="0" xfId="0" applyNumberFormat="1"/>
    <xf numFmtId="0" fontId="3" fillId="0" borderId="0" xfId="0" applyFont="1" applyAlignment="1"/>
    <xf numFmtId="0" fontId="3" fillId="0" borderId="1" xfId="0" applyFont="1" applyBorder="1" applyAlignment="1"/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7AFC-E988-47C2-A4EF-7E8201E257CF}">
  <dimension ref="A1:G15"/>
  <sheetViews>
    <sheetView workbookViewId="0">
      <selection activeCell="C15" sqref="C15:F15"/>
    </sheetView>
  </sheetViews>
  <sheetFormatPr defaultRowHeight="15" x14ac:dyDescent="0.25"/>
  <sheetData>
    <row r="1" spans="1:7" x14ac:dyDescent="0.25">
      <c r="C1" s="11" t="s">
        <v>0</v>
      </c>
      <c r="D1" s="11" t="s">
        <v>210</v>
      </c>
      <c r="E1" s="12" t="s">
        <v>440</v>
      </c>
      <c r="F1" s="12" t="s">
        <v>441</v>
      </c>
      <c r="G1" s="11"/>
    </row>
    <row r="2" spans="1:7" x14ac:dyDescent="0.25">
      <c r="B2" t="s">
        <v>1</v>
      </c>
      <c r="C2">
        <f>AVERAGE(C6:C14)</f>
        <v>132.54419580150409</v>
      </c>
      <c r="D2">
        <f t="shared" ref="D2:F2" si="0">AVERAGE(D6:D14)</f>
        <v>126136.35622159953</v>
      </c>
      <c r="E2">
        <f t="shared" si="0"/>
        <v>2410.9728412871673</v>
      </c>
      <c r="F2">
        <f t="shared" si="0"/>
        <v>2.7332246724102668E-2</v>
      </c>
    </row>
    <row r="3" spans="1:7" x14ac:dyDescent="0.25">
      <c r="B3" t="s">
        <v>2</v>
      </c>
      <c r="C3">
        <f>MEDIAN(C6:C14)</f>
        <v>117</v>
      </c>
      <c r="D3">
        <f t="shared" ref="D3:F3" si="1">MEDIAN(D6:D14)</f>
        <v>90999.84375</v>
      </c>
      <c r="E3">
        <f t="shared" si="1"/>
        <v>602.33333333333337</v>
      </c>
      <c r="F3">
        <f t="shared" si="1"/>
        <v>2.2802567202369929E-2</v>
      </c>
    </row>
    <row r="4" spans="1:7" x14ac:dyDescent="0.25">
      <c r="B4" t="s">
        <v>3</v>
      </c>
      <c r="C4">
        <f>STDEV(C6:C14)</f>
        <v>106.5665551546865</v>
      </c>
      <c r="D4">
        <f t="shared" ref="D4:F4" si="2">STDEV(D6:D14)</f>
        <v>178118.85087417695</v>
      </c>
      <c r="E4">
        <f t="shared" si="2"/>
        <v>4034.7922264440936</v>
      </c>
      <c r="F4">
        <f t="shared" si="2"/>
        <v>2.1533982272876919E-2</v>
      </c>
    </row>
    <row r="5" spans="1:7" x14ac:dyDescent="0.25">
      <c r="A5" s="11" t="s">
        <v>442</v>
      </c>
    </row>
    <row r="6" spans="1:7" x14ac:dyDescent="0.25">
      <c r="A6" t="s">
        <v>457</v>
      </c>
      <c r="C6">
        <f>OpenChord!C2</f>
        <v>201.6</v>
      </c>
      <c r="D6">
        <f>OpenChord!D2</f>
        <v>8299.1666666666661</v>
      </c>
      <c r="E6">
        <f>OpenChord!E2</f>
        <v>511</v>
      </c>
      <c r="F6">
        <f>OpenChord!F2</f>
        <v>6.1405750889406065E-2</v>
      </c>
    </row>
    <row r="7" spans="1:7" x14ac:dyDescent="0.25">
      <c r="A7" t="s">
        <v>443</v>
      </c>
      <c r="C7">
        <f>Thrift!C2</f>
        <v>315.75</v>
      </c>
      <c r="D7">
        <f>Thrift!D2</f>
        <v>10583.846153846154</v>
      </c>
      <c r="E7">
        <f>Thrift!E2</f>
        <v>602.33333333333337</v>
      </c>
      <c r="F7">
        <f>Thrift!F2</f>
        <v>6.0905571422445959E-2</v>
      </c>
    </row>
    <row r="8" spans="1:7" x14ac:dyDescent="0.25">
      <c r="A8" t="s">
        <v>444</v>
      </c>
      <c r="C8">
        <f>xSocket!C2</f>
        <v>28.482758620689655</v>
      </c>
      <c r="D8">
        <f>xSocket!D2</f>
        <v>12796.633333333333</v>
      </c>
      <c r="E8">
        <f>xSocket!E2</f>
        <v>316.27586206896552</v>
      </c>
      <c r="F8">
        <f>xSocket!F2</f>
        <v>3.6270653140895566E-2</v>
      </c>
    </row>
    <row r="9" spans="1:7" x14ac:dyDescent="0.25">
      <c r="A9" t="s">
        <v>445</v>
      </c>
      <c r="C9">
        <f>Voldemort!C2</f>
        <v>19.137499999999999</v>
      </c>
      <c r="D9">
        <f>Voldemort!D2</f>
        <v>103184.65432098765</v>
      </c>
      <c r="E9">
        <f>Voldemort!E2</f>
        <v>229.72499999999999</v>
      </c>
      <c r="F9">
        <f>Voldemort!F2</f>
        <v>2.4136836022200145E-3</v>
      </c>
    </row>
    <row r="10" spans="1:7" x14ac:dyDescent="0.25">
      <c r="A10" t="s">
        <v>446</v>
      </c>
      <c r="C10">
        <f>Zookeeper!C2</f>
        <v>177.03333333333333</v>
      </c>
      <c r="D10">
        <f>Zookeeper!D2</f>
        <v>49683.382352941175</v>
      </c>
      <c r="E10">
        <f>Zookeeper!E2</f>
        <v>521.33333333333337</v>
      </c>
      <c r="F10">
        <f>Zookeeper!F2</f>
        <v>1.0083603071739212E-2</v>
      </c>
    </row>
    <row r="11" spans="1:7" x14ac:dyDescent="0.25">
      <c r="A11" t="s">
        <v>447</v>
      </c>
      <c r="C11">
        <f>Netty!C2</f>
        <v>41.092592592592595</v>
      </c>
      <c r="D11">
        <f>Netty!D2</f>
        <v>92949.962025316461</v>
      </c>
      <c r="E11">
        <f>Netty!E2</f>
        <v>746.84713375796173</v>
      </c>
      <c r="F11">
        <f>Netty!F2</f>
        <v>9.1914695140923684E-3</v>
      </c>
    </row>
    <row r="12" spans="1:7" x14ac:dyDescent="0.25">
      <c r="A12" t="s">
        <v>448</v>
      </c>
      <c r="C12">
        <f>Derby!C2</f>
        <v>240.9</v>
      </c>
      <c r="D12">
        <f>Derby!D2</f>
        <v>574003.21739130432</v>
      </c>
      <c r="E12">
        <f>Derby!E2</f>
        <v>12573.09090909091</v>
      </c>
      <c r="F12">
        <f>Derby!F2</f>
        <v>2.2802567202369929E-2</v>
      </c>
    </row>
    <row r="13" spans="1:7" x14ac:dyDescent="0.25">
      <c r="A13" t="s">
        <v>449</v>
      </c>
      <c r="C13">
        <f>Karaf!C2</f>
        <v>117</v>
      </c>
      <c r="D13">
        <f>Karaf!D2</f>
        <v>90999.84375</v>
      </c>
      <c r="E13">
        <f>Karaf!E2</f>
        <v>1747.4</v>
      </c>
      <c r="F13">
        <f>Karaf!F2</f>
        <v>1.9946309720539478E-2</v>
      </c>
    </row>
    <row r="14" spans="1:7" x14ac:dyDescent="0.25">
      <c r="A14" t="s">
        <v>450</v>
      </c>
      <c r="C14">
        <f>Cassandra!C2</f>
        <v>51.901577666921312</v>
      </c>
      <c r="D14">
        <f>Cassandra!D2</f>
        <v>192726.5</v>
      </c>
      <c r="E14">
        <f>Cassandra!E2</f>
        <v>4450.75</v>
      </c>
      <c r="F14">
        <f>Cassandra!F2</f>
        <v>2.2970611953215429E-2</v>
      </c>
    </row>
    <row r="15" spans="1:7" x14ac:dyDescent="0.25">
      <c r="A15" t="s">
        <v>466</v>
      </c>
      <c r="C15">
        <f>XNIO!C2</f>
        <v>161.80000000000001</v>
      </c>
      <c r="D15">
        <f>XNIO!D2</f>
        <v>8552.5714285714294</v>
      </c>
      <c r="E15">
        <f>XNIO!E2</f>
        <v>357.4</v>
      </c>
      <c r="F15">
        <f>XNIO!F2</f>
        <v>6.9266324265234477E-2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41DB5-9202-4C86-9195-097ECBD1D1DB}">
  <dimension ref="A1:F11"/>
  <sheetViews>
    <sheetView tabSelected="1" workbookViewId="0">
      <selection activeCell="F2" sqref="F2"/>
    </sheetView>
  </sheetViews>
  <sheetFormatPr defaultRowHeight="15" x14ac:dyDescent="0.25"/>
  <cols>
    <col min="2" max="2" width="10.7109375" bestFit="1" customWidth="1"/>
    <col min="6" max="6" width="15.42578125" customWidth="1"/>
  </cols>
  <sheetData>
    <row r="1" spans="1:6" x14ac:dyDescent="0.25">
      <c r="B1" s="1"/>
      <c r="C1" t="s">
        <v>0</v>
      </c>
      <c r="D1" t="s">
        <v>210</v>
      </c>
      <c r="E1" s="5" t="s">
        <v>440</v>
      </c>
      <c r="F1" s="5" t="s">
        <v>441</v>
      </c>
    </row>
    <row r="2" spans="1:6" x14ac:dyDescent="0.25">
      <c r="B2" s="1" t="s">
        <v>1</v>
      </c>
      <c r="C2">
        <f>AVERAGE(C6:C10)</f>
        <v>201.6</v>
      </c>
      <c r="D2">
        <f>AVERAGE(D6:D11)</f>
        <v>8299.1666666666661</v>
      </c>
      <c r="E2">
        <f>AVERAGE(E7:E11)</f>
        <v>511</v>
      </c>
      <c r="F2">
        <f>AVERAGE(F7:F11)</f>
        <v>6.1405750889406065E-2</v>
      </c>
    </row>
    <row r="3" spans="1:6" x14ac:dyDescent="0.25">
      <c r="B3" s="1" t="s">
        <v>2</v>
      </c>
      <c r="C3">
        <f>MEDIAN(C6:C10)</f>
        <v>187</v>
      </c>
      <c r="D3">
        <f>MEDIAN(D6:D11)</f>
        <v>8278</v>
      </c>
      <c r="E3">
        <f>MEDIAN(E7:E11)</f>
        <v>607</v>
      </c>
      <c r="F3">
        <f>MEDIAN(F7:F11)</f>
        <v>7.2572931611669056E-2</v>
      </c>
    </row>
    <row r="4" spans="1:6" x14ac:dyDescent="0.25">
      <c r="B4" s="1" t="s">
        <v>3</v>
      </c>
      <c r="C4">
        <f>STDEV(C6:C10)</f>
        <v>156.44743526181566</v>
      </c>
      <c r="D4">
        <f>STDEV(D6:D11)</f>
        <v>524.44844042733757</v>
      </c>
      <c r="E4">
        <f>STDEV(E7:E11)</f>
        <v>207.2836221219612</v>
      </c>
      <c r="F4">
        <f>STDEV(F7:F11)</f>
        <v>2.5536868486016866E-2</v>
      </c>
    </row>
    <row r="5" spans="1:6" x14ac:dyDescent="0.25">
      <c r="A5" t="s">
        <v>4</v>
      </c>
      <c r="B5" s="1" t="s">
        <v>5</v>
      </c>
    </row>
    <row r="6" spans="1:6" x14ac:dyDescent="0.25">
      <c r="A6" t="s">
        <v>451</v>
      </c>
      <c r="B6" s="4">
        <v>38748</v>
      </c>
      <c r="C6">
        <f>DATEDIF(B6,B7,"d")</f>
        <v>339</v>
      </c>
      <c r="D6">
        <v>7792</v>
      </c>
    </row>
    <row r="7" spans="1:6" x14ac:dyDescent="0.25">
      <c r="A7" t="s">
        <v>452</v>
      </c>
      <c r="B7" s="4">
        <v>39087</v>
      </c>
      <c r="C7">
        <f t="shared" ref="C7:C10" si="0">DATEDIF(B7,B8,"d")</f>
        <v>7</v>
      </c>
      <c r="D7">
        <v>7839</v>
      </c>
      <c r="E7">
        <v>331</v>
      </c>
      <c r="F7">
        <f>E7/D7</f>
        <v>4.222477356805715E-2</v>
      </c>
    </row>
    <row r="8" spans="1:6" x14ac:dyDescent="0.25">
      <c r="A8" t="s">
        <v>453</v>
      </c>
      <c r="B8" s="4">
        <v>39094</v>
      </c>
      <c r="C8">
        <f t="shared" si="0"/>
        <v>187</v>
      </c>
      <c r="D8">
        <v>8213</v>
      </c>
      <c r="E8">
        <v>686</v>
      </c>
      <c r="F8">
        <f t="shared" ref="F8:F11" si="1">E8/D8</f>
        <v>8.3526117131377087E-2</v>
      </c>
    </row>
    <row r="9" spans="1:6" x14ac:dyDescent="0.25">
      <c r="A9" t="s">
        <v>454</v>
      </c>
      <c r="B9" s="4">
        <v>39281</v>
      </c>
      <c r="C9">
        <f t="shared" si="0"/>
        <v>99</v>
      </c>
      <c r="D9">
        <v>8343</v>
      </c>
      <c r="E9">
        <v>684</v>
      </c>
      <c r="F9">
        <f t="shared" si="1"/>
        <v>8.1984897518878108E-2</v>
      </c>
    </row>
    <row r="10" spans="1:6" x14ac:dyDescent="0.25">
      <c r="A10" t="s">
        <v>455</v>
      </c>
      <c r="B10" s="4">
        <v>39380</v>
      </c>
      <c r="C10">
        <f t="shared" si="0"/>
        <v>376</v>
      </c>
      <c r="D10">
        <v>8364</v>
      </c>
      <c r="E10">
        <v>607</v>
      </c>
      <c r="F10">
        <f t="shared" si="1"/>
        <v>7.2572931611669056E-2</v>
      </c>
    </row>
    <row r="11" spans="1:6" x14ac:dyDescent="0.25">
      <c r="A11" t="s">
        <v>456</v>
      </c>
      <c r="B11" s="4">
        <v>39756</v>
      </c>
      <c r="D11">
        <v>9244</v>
      </c>
      <c r="E11">
        <v>247</v>
      </c>
      <c r="F11">
        <f t="shared" si="1"/>
        <v>2.6720034617048898E-2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9"/>
  <sheetViews>
    <sheetView workbookViewId="0">
      <selection activeCell="D6" sqref="D6:D21"/>
    </sheetView>
  </sheetViews>
  <sheetFormatPr defaultColWidth="14.42578125" defaultRowHeight="15" customHeight="1" x14ac:dyDescent="0.25"/>
  <cols>
    <col min="1" max="1" width="8.7109375" customWidth="1"/>
    <col min="2" max="2" width="11.42578125" customWidth="1"/>
    <col min="3" max="3" width="8.7109375" customWidth="1"/>
    <col min="4" max="4" width="15.7109375" customWidth="1"/>
    <col min="5" max="5" width="9.28515625" customWidth="1"/>
    <col min="6" max="22" width="8.7109375" customWidth="1"/>
  </cols>
  <sheetData>
    <row r="1" spans="1:6" ht="14.25" customHeight="1" x14ac:dyDescent="0.25">
      <c r="B1" s="1"/>
      <c r="C1" t="s">
        <v>0</v>
      </c>
      <c r="D1" t="s">
        <v>210</v>
      </c>
      <c r="E1" s="5" t="s">
        <v>440</v>
      </c>
      <c r="F1" s="5" t="s">
        <v>441</v>
      </c>
    </row>
    <row r="2" spans="1:6" ht="14.25" customHeight="1" x14ac:dyDescent="0.25">
      <c r="B2" s="1" t="s">
        <v>1</v>
      </c>
      <c r="C2">
        <f>AVERAGE(C15:C19)</f>
        <v>315.75</v>
      </c>
      <c r="D2">
        <f t="shared" ref="D2:F2" si="0">AVERAGE(D6:D19)</f>
        <v>10583.846153846154</v>
      </c>
      <c r="E2">
        <f>AVERAGE(E7:E19)</f>
        <v>602.33333333333337</v>
      </c>
      <c r="F2">
        <f t="shared" si="0"/>
        <v>6.0905571422445959E-2</v>
      </c>
    </row>
    <row r="3" spans="1:6" ht="14.25" customHeight="1" x14ac:dyDescent="0.25">
      <c r="B3" s="1" t="s">
        <v>2</v>
      </c>
      <c r="C3">
        <f>MEDIAN(C15:C19)</f>
        <v>315</v>
      </c>
      <c r="D3">
        <f t="shared" ref="D3:F3" si="1">MEDIAN(D6:D19)</f>
        <v>10230</v>
      </c>
      <c r="E3">
        <f>MEDIAN(E7:E19)</f>
        <v>569.5</v>
      </c>
      <c r="F3">
        <f t="shared" si="1"/>
        <v>4.3825086487418528E-2</v>
      </c>
    </row>
    <row r="4" spans="1:6" ht="14.25" customHeight="1" x14ac:dyDescent="0.25">
      <c r="B4" s="1" t="s">
        <v>3</v>
      </c>
      <c r="C4">
        <f>STDEV(C15:C19)</f>
        <v>112.03979947619804</v>
      </c>
      <c r="D4">
        <f t="shared" ref="D4:F4" si="2">STDEV(D6:D19)</f>
        <v>2595.9181691697531</v>
      </c>
      <c r="E4">
        <f>STDEV(E7:E19)</f>
        <v>487.97509871887621</v>
      </c>
      <c r="F4">
        <f t="shared" si="2"/>
        <v>5.5818242696612626E-2</v>
      </c>
    </row>
    <row r="5" spans="1:6" ht="14.25" customHeight="1" x14ac:dyDescent="0.25">
      <c r="A5" t="s">
        <v>4</v>
      </c>
      <c r="B5" s="1" t="s">
        <v>5</v>
      </c>
    </row>
    <row r="6" spans="1:6" ht="14.25" customHeight="1" x14ac:dyDescent="0.25">
      <c r="A6" t="s">
        <v>179</v>
      </c>
      <c r="B6" s="1">
        <v>41672</v>
      </c>
      <c r="C6">
        <f>DATEDIF(B6,B7,"d")</f>
        <v>0</v>
      </c>
      <c r="D6">
        <v>6417</v>
      </c>
    </row>
    <row r="7" spans="1:6" ht="14.25" customHeight="1" x14ac:dyDescent="0.25">
      <c r="A7" t="s">
        <v>180</v>
      </c>
      <c r="B7" s="1">
        <v>41672</v>
      </c>
      <c r="C7">
        <f t="shared" ref="C7:C19" si="3">DATEDIF(B7,B8,"d")</f>
        <v>0</v>
      </c>
      <c r="D7">
        <v>6830</v>
      </c>
      <c r="E7">
        <v>984</v>
      </c>
      <c r="F7">
        <f t="shared" ref="F7:F20" si="4">E7/D7</f>
        <v>0.14407027818448023</v>
      </c>
    </row>
    <row r="8" spans="1:6" ht="14.25" customHeight="1" x14ac:dyDescent="0.25">
      <c r="A8" t="s">
        <v>181</v>
      </c>
      <c r="B8" s="1">
        <v>41672</v>
      </c>
      <c r="C8">
        <f t="shared" si="3"/>
        <v>0</v>
      </c>
      <c r="D8">
        <v>7903</v>
      </c>
      <c r="E8">
        <v>909</v>
      </c>
      <c r="F8">
        <f t="shared" si="4"/>
        <v>0.11501961280526382</v>
      </c>
    </row>
    <row r="9" spans="1:6" ht="14.25" customHeight="1" x14ac:dyDescent="0.25">
      <c r="A9" t="s">
        <v>182</v>
      </c>
      <c r="B9" s="1">
        <v>41672</v>
      </c>
      <c r="C9">
        <f t="shared" si="3"/>
        <v>0</v>
      </c>
      <c r="D9">
        <v>8913</v>
      </c>
      <c r="E9">
        <v>296</v>
      </c>
      <c r="F9">
        <f t="shared" si="4"/>
        <v>3.320991809716145E-2</v>
      </c>
    </row>
    <row r="10" spans="1:6" ht="14.25" customHeight="1" x14ac:dyDescent="0.25">
      <c r="A10" t="s">
        <v>183</v>
      </c>
      <c r="B10" s="1">
        <v>41672</v>
      </c>
      <c r="C10">
        <f t="shared" si="3"/>
        <v>0</v>
      </c>
      <c r="D10">
        <v>10093</v>
      </c>
      <c r="E10">
        <v>1828</v>
      </c>
      <c r="F10">
        <f t="shared" si="4"/>
        <v>0.18111562469037948</v>
      </c>
    </row>
    <row r="11" spans="1:6" ht="14.25" customHeight="1" x14ac:dyDescent="0.25">
      <c r="A11" t="s">
        <v>184</v>
      </c>
      <c r="B11" s="1">
        <v>41672</v>
      </c>
      <c r="C11">
        <f t="shared" si="3"/>
        <v>0</v>
      </c>
      <c r="D11">
        <v>10093</v>
      </c>
      <c r="E11">
        <v>126</v>
      </c>
      <c r="F11">
        <f t="shared" si="4"/>
        <v>1.2483899732487863E-2</v>
      </c>
    </row>
    <row r="12" spans="1:6" ht="14.25" customHeight="1" x14ac:dyDescent="0.25">
      <c r="A12" t="s">
        <v>185</v>
      </c>
      <c r="B12" s="1">
        <v>41672</v>
      </c>
      <c r="C12">
        <f t="shared" si="3"/>
        <v>0</v>
      </c>
      <c r="D12">
        <v>10230</v>
      </c>
      <c r="E12">
        <v>179</v>
      </c>
      <c r="F12">
        <f t="shared" si="4"/>
        <v>1.7497556207233627E-2</v>
      </c>
    </row>
    <row r="13" spans="1:6" ht="14.25" customHeight="1" x14ac:dyDescent="0.25">
      <c r="A13" t="s">
        <v>186</v>
      </c>
      <c r="B13" s="1">
        <v>41672</v>
      </c>
      <c r="C13">
        <f t="shared" si="3"/>
        <v>0</v>
      </c>
      <c r="D13">
        <v>11163</v>
      </c>
      <c r="E13">
        <v>650</v>
      </c>
      <c r="F13">
        <f t="shared" si="4"/>
        <v>5.8228074890262473E-2</v>
      </c>
    </row>
    <row r="14" spans="1:6" ht="14.25" customHeight="1" x14ac:dyDescent="0.25">
      <c r="A14" t="s">
        <v>187</v>
      </c>
      <c r="B14" s="1">
        <v>41672</v>
      </c>
      <c r="C14">
        <f t="shared" si="3"/>
        <v>0</v>
      </c>
      <c r="D14">
        <v>11661</v>
      </c>
      <c r="E14">
        <v>189</v>
      </c>
      <c r="F14">
        <f t="shared" si="4"/>
        <v>1.6207872395163365E-2</v>
      </c>
    </row>
    <row r="15" spans="1:6" ht="14.25" customHeight="1" x14ac:dyDescent="0.25">
      <c r="A15" t="s">
        <v>188</v>
      </c>
      <c r="B15" s="1">
        <v>41672</v>
      </c>
      <c r="C15">
        <f>DATEDIF(B15,B25,"d")</f>
        <v>180</v>
      </c>
      <c r="D15">
        <v>12635</v>
      </c>
      <c r="E15">
        <v>543</v>
      </c>
      <c r="F15">
        <f t="shared" si="4"/>
        <v>4.2975860704392563E-2</v>
      </c>
    </row>
    <row r="17" spans="1:6" ht="14.25" customHeight="1" x14ac:dyDescent="0.25">
      <c r="A17" t="s">
        <v>190</v>
      </c>
      <c r="B17" s="1">
        <v>41959</v>
      </c>
      <c r="C17">
        <f t="shared" si="3"/>
        <v>329</v>
      </c>
      <c r="D17">
        <v>13341</v>
      </c>
      <c r="E17">
        <v>596</v>
      </c>
      <c r="F17">
        <f t="shared" si="4"/>
        <v>4.4674312270444494E-2</v>
      </c>
    </row>
    <row r="18" spans="1:6" ht="14.25" customHeight="1" x14ac:dyDescent="0.25">
      <c r="A18" t="s">
        <v>191</v>
      </c>
      <c r="B18" s="1">
        <v>42288</v>
      </c>
      <c r="C18">
        <f t="shared" si="3"/>
        <v>453</v>
      </c>
      <c r="D18">
        <v>14094</v>
      </c>
      <c r="E18">
        <v>179</v>
      </c>
      <c r="F18">
        <f t="shared" si="4"/>
        <v>1.2700439903505037E-2</v>
      </c>
    </row>
    <row r="19" spans="1:6" ht="14.25" customHeight="1" x14ac:dyDescent="0.25">
      <c r="A19" t="s">
        <v>192</v>
      </c>
      <c r="B19" s="1">
        <v>42741</v>
      </c>
      <c r="C19">
        <f t="shared" si="3"/>
        <v>301</v>
      </c>
      <c r="D19">
        <v>14217</v>
      </c>
      <c r="E19">
        <v>749</v>
      </c>
      <c r="F19">
        <f t="shared" si="4"/>
        <v>5.2683407188577058E-2</v>
      </c>
    </row>
    <row r="20" spans="1:6" ht="14.25" customHeight="1" x14ac:dyDescent="0.25">
      <c r="A20" t="s">
        <v>193</v>
      </c>
      <c r="B20" s="1">
        <v>43042</v>
      </c>
      <c r="D20">
        <v>14510</v>
      </c>
      <c r="E20">
        <v>209</v>
      </c>
      <c r="F20">
        <f t="shared" si="4"/>
        <v>1.4403859407305307E-2</v>
      </c>
    </row>
    <row r="21" spans="1:6" ht="14.25" customHeight="1" x14ac:dyDescent="0.25">
      <c r="D21">
        <f>SUM(D6:D20)</f>
        <v>152100</v>
      </c>
    </row>
    <row r="22" spans="1:6" ht="14.25" customHeight="1" x14ac:dyDescent="0.25"/>
    <row r="23" spans="1:6" ht="14.25" customHeight="1" x14ac:dyDescent="0.25"/>
    <row r="24" spans="1:6" ht="14.25" customHeight="1" x14ac:dyDescent="0.25"/>
    <row r="25" spans="1:6" ht="14.25" customHeight="1" x14ac:dyDescent="0.25">
      <c r="A25" t="s">
        <v>189</v>
      </c>
      <c r="B25" s="1">
        <v>41852</v>
      </c>
      <c r="C25">
        <f>DATEDIF(B25,B17,"d")</f>
        <v>107</v>
      </c>
      <c r="D25">
        <v>13238</v>
      </c>
      <c r="E25">
        <v>910</v>
      </c>
      <c r="F25">
        <f>E25/D25</f>
        <v>6.8741501737422578E-2</v>
      </c>
    </row>
    <row r="26" spans="1:6" ht="14.25" customHeight="1" x14ac:dyDescent="0.25"/>
    <row r="27" spans="1:6" ht="14.25" customHeight="1" x14ac:dyDescent="0.25"/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8"/>
  <sheetViews>
    <sheetView topLeftCell="A48" workbookViewId="0">
      <selection activeCell="D6" sqref="D6:D66"/>
    </sheetView>
  </sheetViews>
  <sheetFormatPr defaultColWidth="14.42578125" defaultRowHeight="15" customHeight="1" x14ac:dyDescent="0.25"/>
  <cols>
    <col min="1" max="1" width="17.85546875" customWidth="1"/>
    <col min="2" max="2" width="14" customWidth="1"/>
    <col min="3" max="3" width="8" customWidth="1"/>
    <col min="4" max="4" width="11.42578125" customWidth="1"/>
    <col min="5" max="5" width="7.140625" customWidth="1"/>
    <col min="6" max="25" width="8.7109375" customWidth="1"/>
  </cols>
  <sheetData>
    <row r="1" spans="1:6" ht="15.95" customHeight="1" x14ac:dyDescent="0.25">
      <c r="B1" s="1"/>
      <c r="C1" t="s">
        <v>0</v>
      </c>
      <c r="D1" t="s">
        <v>210</v>
      </c>
      <c r="E1" s="5" t="s">
        <v>440</v>
      </c>
      <c r="F1" s="5" t="s">
        <v>441</v>
      </c>
    </row>
    <row r="2" spans="1:6" ht="15.95" customHeight="1" x14ac:dyDescent="0.25">
      <c r="B2" s="1" t="s">
        <v>1</v>
      </c>
      <c r="C2">
        <f>AVERAGE(C6:C65)</f>
        <v>28.482758620689655</v>
      </c>
      <c r="D2">
        <f>AVERAGE(D6:D65)</f>
        <v>12796.633333333333</v>
      </c>
      <c r="E2">
        <f>AVERAGE(E7:E65)</f>
        <v>316.27586206896552</v>
      </c>
      <c r="F2">
        <f>AVERAGE(F7:F65)</f>
        <v>3.6270653140895566E-2</v>
      </c>
    </row>
    <row r="3" spans="1:6" ht="15.95" customHeight="1" x14ac:dyDescent="0.25">
      <c r="B3" s="1" t="s">
        <v>2</v>
      </c>
      <c r="C3">
        <f>MEDIAN(C6:C65)</f>
        <v>15</v>
      </c>
      <c r="D3">
        <f>MEDIAN(D6:D65)</f>
        <v>14096</v>
      </c>
      <c r="E3">
        <f>MEDIAN(E7:E65)</f>
        <v>160</v>
      </c>
      <c r="F3">
        <f>MEDIAN(F7:F65)</f>
        <v>1.0335593565191122E-2</v>
      </c>
    </row>
    <row r="4" spans="1:6" ht="15.95" customHeight="1" x14ac:dyDescent="0.25">
      <c r="B4" s="1" t="s">
        <v>3</v>
      </c>
      <c r="C4">
        <f>STDEV(C6:C65)</f>
        <v>34.507686089827111</v>
      </c>
      <c r="D4">
        <f>STDEV(D6:D65)</f>
        <v>3674.1421642252544</v>
      </c>
      <c r="E4">
        <f>STDEV(E7:E65)</f>
        <v>346.40908749391463</v>
      </c>
      <c r="F4">
        <f>STDEV(F7:F65)</f>
        <v>5.5654696143240784E-2</v>
      </c>
    </row>
    <row r="5" spans="1:6" ht="15.95" customHeight="1" x14ac:dyDescent="0.25">
      <c r="A5" t="s">
        <v>4</v>
      </c>
      <c r="B5" s="1" t="s">
        <v>5</v>
      </c>
    </row>
    <row r="6" spans="1:6" ht="15.95" customHeight="1" x14ac:dyDescent="0.25">
      <c r="A6" t="s">
        <v>6</v>
      </c>
      <c r="B6" s="1">
        <v>38915</v>
      </c>
      <c r="C6">
        <f>DATEDIF(B6,B7,"d")</f>
        <v>62</v>
      </c>
      <c r="D6">
        <v>2331</v>
      </c>
    </row>
    <row r="7" spans="1:6" ht="15.95" customHeight="1" x14ac:dyDescent="0.25">
      <c r="A7" t="s">
        <v>8</v>
      </c>
      <c r="B7" s="1">
        <v>38977</v>
      </c>
      <c r="C7">
        <f t="shared" ref="C7:C64" si="0">DATEDIF(B7,B8,"d")</f>
        <v>87</v>
      </c>
      <c r="D7">
        <v>2399</v>
      </c>
      <c r="E7">
        <v>383</v>
      </c>
      <c r="F7">
        <f t="shared" ref="F7:F65" si="1">E7/D7</f>
        <v>0.15964985410587745</v>
      </c>
    </row>
    <row r="8" spans="1:6" s="2" customFormat="1" ht="15.95" customHeight="1" x14ac:dyDescent="0.25">
      <c r="A8" s="2" t="s">
        <v>11</v>
      </c>
      <c r="B8" s="3">
        <v>39064</v>
      </c>
      <c r="C8">
        <f t="shared" si="0"/>
        <v>35</v>
      </c>
      <c r="D8" s="2">
        <v>3252</v>
      </c>
      <c r="E8" s="2">
        <v>968</v>
      </c>
      <c r="F8">
        <f t="shared" si="1"/>
        <v>0.29766297662976632</v>
      </c>
    </row>
    <row r="9" spans="1:6" ht="15.95" customHeight="1" x14ac:dyDescent="0.25">
      <c r="A9" t="s">
        <v>13</v>
      </c>
      <c r="B9" s="1">
        <v>39099</v>
      </c>
      <c r="C9">
        <f t="shared" si="0"/>
        <v>35</v>
      </c>
      <c r="D9">
        <v>4237</v>
      </c>
      <c r="E9">
        <v>188</v>
      </c>
      <c r="F9">
        <f t="shared" si="1"/>
        <v>4.4371017229171583E-2</v>
      </c>
    </row>
    <row r="10" spans="1:6" s="2" customFormat="1" ht="15.95" customHeight="1" x14ac:dyDescent="0.25">
      <c r="A10" s="2" t="s">
        <v>16</v>
      </c>
      <c r="B10" s="3">
        <v>39134</v>
      </c>
      <c r="C10">
        <f t="shared" si="0"/>
        <v>29</v>
      </c>
      <c r="D10" s="2">
        <v>4522</v>
      </c>
      <c r="E10" s="2">
        <v>487</v>
      </c>
      <c r="F10">
        <f t="shared" si="1"/>
        <v>0.10769570986289252</v>
      </c>
    </row>
    <row r="11" spans="1:6" s="2" customFormat="1" ht="15.95" customHeight="1" x14ac:dyDescent="0.25">
      <c r="A11" s="2" t="s">
        <v>19</v>
      </c>
      <c r="B11" s="3">
        <v>39163</v>
      </c>
      <c r="C11">
        <f t="shared" si="0"/>
        <v>8</v>
      </c>
      <c r="D11" s="2">
        <v>5446</v>
      </c>
      <c r="E11" s="2">
        <v>991</v>
      </c>
      <c r="F11">
        <f t="shared" si="1"/>
        <v>0.18196841718692619</v>
      </c>
    </row>
    <row r="12" spans="1:6" ht="15.95" customHeight="1" x14ac:dyDescent="0.25">
      <c r="A12" t="s">
        <v>20</v>
      </c>
      <c r="B12" s="1">
        <v>39171</v>
      </c>
      <c r="C12">
        <f t="shared" si="0"/>
        <v>134</v>
      </c>
      <c r="D12" s="2">
        <v>7281</v>
      </c>
      <c r="E12">
        <v>999</v>
      </c>
      <c r="F12">
        <f t="shared" si="1"/>
        <v>0.13720642768850433</v>
      </c>
    </row>
    <row r="13" spans="1:6" s="2" customFormat="1" ht="15.95" customHeight="1" x14ac:dyDescent="0.25">
      <c r="A13" s="2" t="s">
        <v>23</v>
      </c>
      <c r="B13" s="3">
        <v>39305</v>
      </c>
      <c r="C13">
        <f t="shared" si="0"/>
        <v>66</v>
      </c>
      <c r="D13" s="2">
        <v>8717</v>
      </c>
      <c r="E13" s="2">
        <v>1342</v>
      </c>
      <c r="F13">
        <f t="shared" si="1"/>
        <v>0.15395204772284043</v>
      </c>
    </row>
    <row r="14" spans="1:6" ht="15.95" customHeight="1" x14ac:dyDescent="0.25">
      <c r="A14" t="s">
        <v>26</v>
      </c>
      <c r="B14" s="1">
        <v>39371</v>
      </c>
      <c r="D14" s="2">
        <v>9001</v>
      </c>
      <c r="E14">
        <v>641</v>
      </c>
      <c r="F14">
        <f t="shared" si="1"/>
        <v>7.121430952116431E-2</v>
      </c>
    </row>
    <row r="15" spans="1:6" ht="15.95" customHeight="1" x14ac:dyDescent="0.25">
      <c r="A15" t="s">
        <v>28</v>
      </c>
      <c r="B15" s="1">
        <v>39356</v>
      </c>
      <c r="C15">
        <f t="shared" si="0"/>
        <v>142</v>
      </c>
      <c r="D15" s="2">
        <v>8657</v>
      </c>
    </row>
    <row r="16" spans="1:6" ht="15.95" customHeight="1" x14ac:dyDescent="0.25">
      <c r="A16" t="s">
        <v>31</v>
      </c>
      <c r="B16" s="1">
        <v>39498</v>
      </c>
      <c r="C16">
        <f t="shared" si="0"/>
        <v>16</v>
      </c>
      <c r="D16" s="2">
        <v>10337</v>
      </c>
      <c r="E16">
        <v>678</v>
      </c>
      <c r="F16">
        <f t="shared" si="1"/>
        <v>6.5589629486311307E-2</v>
      </c>
    </row>
    <row r="17" spans="1:6" ht="15.95" customHeight="1" x14ac:dyDescent="0.25">
      <c r="A17" t="s">
        <v>33</v>
      </c>
      <c r="B17" s="1">
        <v>39514</v>
      </c>
      <c r="C17">
        <f t="shared" si="0"/>
        <v>11</v>
      </c>
      <c r="D17" s="2">
        <v>10366</v>
      </c>
      <c r="E17">
        <v>435</v>
      </c>
      <c r="F17">
        <f t="shared" si="1"/>
        <v>4.1964113447810147E-2</v>
      </c>
    </row>
    <row r="18" spans="1:6" ht="15.95" customHeight="1" x14ac:dyDescent="0.25">
      <c r="A18" t="s">
        <v>36</v>
      </c>
      <c r="B18" s="1">
        <v>39525</v>
      </c>
      <c r="C18">
        <f t="shared" si="0"/>
        <v>38</v>
      </c>
      <c r="D18" s="2">
        <v>10857</v>
      </c>
      <c r="E18">
        <v>651</v>
      </c>
      <c r="F18">
        <f t="shared" si="1"/>
        <v>5.9961315280464215E-2</v>
      </c>
    </row>
    <row r="19" spans="1:6" ht="15.95" customHeight="1" x14ac:dyDescent="0.25">
      <c r="A19" t="s">
        <v>38</v>
      </c>
      <c r="B19" s="1">
        <v>39563</v>
      </c>
      <c r="C19">
        <f t="shared" si="0"/>
        <v>55</v>
      </c>
      <c r="D19" s="2">
        <v>11657</v>
      </c>
      <c r="E19">
        <v>674</v>
      </c>
      <c r="F19">
        <f t="shared" si="1"/>
        <v>5.7819336021274773E-2</v>
      </c>
    </row>
    <row r="20" spans="1:6" ht="15.95" customHeight="1" x14ac:dyDescent="0.25">
      <c r="A20" t="s">
        <v>41</v>
      </c>
      <c r="B20" s="1">
        <v>39618</v>
      </c>
      <c r="C20">
        <f t="shared" si="0"/>
        <v>49</v>
      </c>
      <c r="D20" s="2">
        <v>12041</v>
      </c>
      <c r="E20">
        <v>765</v>
      </c>
      <c r="F20">
        <f t="shared" si="1"/>
        <v>6.3532929158707743E-2</v>
      </c>
    </row>
    <row r="21" spans="1:6" ht="15.95" customHeight="1" x14ac:dyDescent="0.25">
      <c r="A21" t="s">
        <v>44</v>
      </c>
      <c r="B21" s="1">
        <v>39667</v>
      </c>
      <c r="C21">
        <f t="shared" si="0"/>
        <v>34</v>
      </c>
      <c r="D21" s="2">
        <v>12213</v>
      </c>
      <c r="E21">
        <v>806</v>
      </c>
      <c r="F21">
        <f t="shared" si="1"/>
        <v>6.599525096208958E-2</v>
      </c>
    </row>
    <row r="22" spans="1:6" ht="15.95" customHeight="1" x14ac:dyDescent="0.25">
      <c r="A22" t="s">
        <v>46</v>
      </c>
      <c r="B22" s="1">
        <v>39701</v>
      </c>
      <c r="C22">
        <f t="shared" si="0"/>
        <v>40</v>
      </c>
      <c r="D22" s="2">
        <v>12237</v>
      </c>
      <c r="E22">
        <v>19</v>
      </c>
      <c r="F22">
        <f t="shared" si="1"/>
        <v>1.5526681376154287E-3</v>
      </c>
    </row>
    <row r="23" spans="1:6" ht="15.95" customHeight="1" x14ac:dyDescent="0.25">
      <c r="A23" t="s">
        <v>49</v>
      </c>
      <c r="B23" s="1">
        <v>39741</v>
      </c>
      <c r="C23">
        <f t="shared" si="0"/>
        <v>15</v>
      </c>
      <c r="D23" s="2">
        <v>12283</v>
      </c>
      <c r="E23">
        <v>668</v>
      </c>
      <c r="F23">
        <f t="shared" si="1"/>
        <v>5.4384108116909552E-2</v>
      </c>
    </row>
    <row r="24" spans="1:6" ht="15.95" customHeight="1" x14ac:dyDescent="0.25">
      <c r="A24" t="s">
        <v>51</v>
      </c>
      <c r="B24" s="1">
        <v>39756</v>
      </c>
      <c r="C24">
        <f t="shared" si="0"/>
        <v>25</v>
      </c>
      <c r="D24" s="2">
        <v>13340</v>
      </c>
      <c r="E24">
        <v>787</v>
      </c>
      <c r="F24">
        <f t="shared" si="1"/>
        <v>5.8995502248875564E-2</v>
      </c>
    </row>
    <row r="25" spans="1:6" ht="15.95" customHeight="1" x14ac:dyDescent="0.25">
      <c r="A25" t="s">
        <v>54</v>
      </c>
      <c r="B25" s="1">
        <v>39781</v>
      </c>
      <c r="C25">
        <f t="shared" si="0"/>
        <v>43</v>
      </c>
      <c r="D25" s="2">
        <v>13155</v>
      </c>
      <c r="E25">
        <v>745</v>
      </c>
      <c r="F25">
        <f t="shared" si="1"/>
        <v>5.6632459141011025E-2</v>
      </c>
    </row>
    <row r="26" spans="1:6" ht="15.95" customHeight="1" x14ac:dyDescent="0.25">
      <c r="A26" t="s">
        <v>56</v>
      </c>
      <c r="B26" s="1">
        <v>39824</v>
      </c>
      <c r="C26">
        <f t="shared" si="0"/>
        <v>15</v>
      </c>
      <c r="D26" s="2">
        <v>13160</v>
      </c>
      <c r="E26">
        <v>262</v>
      </c>
      <c r="F26">
        <f t="shared" si="1"/>
        <v>1.9908814589665653E-2</v>
      </c>
    </row>
    <row r="27" spans="1:6" ht="15.95" customHeight="1" x14ac:dyDescent="0.25">
      <c r="A27" t="s">
        <v>60</v>
      </c>
      <c r="B27" s="1">
        <v>39839</v>
      </c>
      <c r="C27">
        <f t="shared" si="0"/>
        <v>2</v>
      </c>
      <c r="D27" s="2">
        <v>13272</v>
      </c>
      <c r="E27">
        <v>267</v>
      </c>
      <c r="F27">
        <f t="shared" si="1"/>
        <v>2.0117540687160939E-2</v>
      </c>
    </row>
    <row r="28" spans="1:6" ht="15.95" customHeight="1" x14ac:dyDescent="0.25">
      <c r="A28" t="s">
        <v>62</v>
      </c>
      <c r="B28" s="1">
        <v>39841</v>
      </c>
      <c r="C28">
        <f t="shared" si="0"/>
        <v>10</v>
      </c>
      <c r="D28" s="2">
        <v>13272</v>
      </c>
      <c r="E28">
        <v>7</v>
      </c>
      <c r="F28">
        <f t="shared" si="1"/>
        <v>5.274261603375527E-4</v>
      </c>
    </row>
    <row r="29" spans="1:6" ht="15.95" customHeight="1" x14ac:dyDescent="0.25">
      <c r="A29" t="s">
        <v>63</v>
      </c>
      <c r="B29" s="1">
        <v>39851</v>
      </c>
      <c r="C29">
        <f t="shared" si="0"/>
        <v>13</v>
      </c>
      <c r="D29" s="2">
        <v>13297</v>
      </c>
      <c r="E29">
        <v>66</v>
      </c>
      <c r="F29">
        <f t="shared" si="1"/>
        <v>4.9635256072798374E-3</v>
      </c>
    </row>
    <row r="30" spans="1:6" ht="15.95" customHeight="1" x14ac:dyDescent="0.25">
      <c r="A30" t="s">
        <v>64</v>
      </c>
      <c r="B30" s="1">
        <v>39864</v>
      </c>
      <c r="C30">
        <f t="shared" si="0"/>
        <v>6</v>
      </c>
      <c r="D30" s="2">
        <v>14100</v>
      </c>
      <c r="E30">
        <v>1157</v>
      </c>
      <c r="F30">
        <f t="shared" si="1"/>
        <v>8.2056737588652479E-2</v>
      </c>
    </row>
    <row r="31" spans="1:6" ht="15.95" customHeight="1" x14ac:dyDescent="0.25">
      <c r="A31" t="s">
        <v>67</v>
      </c>
      <c r="B31" s="1">
        <v>39870</v>
      </c>
      <c r="C31">
        <f t="shared" si="0"/>
        <v>1</v>
      </c>
      <c r="D31" s="2">
        <v>14035</v>
      </c>
      <c r="E31">
        <v>239</v>
      </c>
      <c r="F31">
        <f t="shared" si="1"/>
        <v>1.7028856430352689E-2</v>
      </c>
    </row>
    <row r="32" spans="1:6" ht="15.95" customHeight="1" x14ac:dyDescent="0.25">
      <c r="A32" t="s">
        <v>69</v>
      </c>
      <c r="B32" s="1">
        <v>39871</v>
      </c>
      <c r="C32">
        <f t="shared" si="0"/>
        <v>16</v>
      </c>
      <c r="D32" s="2">
        <v>14082</v>
      </c>
      <c r="E32">
        <v>81</v>
      </c>
      <c r="F32">
        <f t="shared" si="1"/>
        <v>5.7520238602471237E-3</v>
      </c>
    </row>
    <row r="33" spans="1:6" ht="15.95" customHeight="1" x14ac:dyDescent="0.25">
      <c r="A33" t="s">
        <v>72</v>
      </c>
      <c r="B33" s="1">
        <v>39887</v>
      </c>
      <c r="C33">
        <f t="shared" si="0"/>
        <v>4</v>
      </c>
      <c r="D33" s="2">
        <v>13801</v>
      </c>
      <c r="E33">
        <v>491</v>
      </c>
      <c r="F33">
        <f t="shared" si="1"/>
        <v>3.5577132091877399E-2</v>
      </c>
    </row>
    <row r="34" spans="1:6" ht="15.95" customHeight="1" x14ac:dyDescent="0.25">
      <c r="A34" t="s">
        <v>76</v>
      </c>
      <c r="B34" s="1">
        <v>39891</v>
      </c>
      <c r="C34">
        <f t="shared" si="0"/>
        <v>84</v>
      </c>
      <c r="D34" s="2">
        <v>13962</v>
      </c>
      <c r="E34">
        <v>604</v>
      </c>
      <c r="F34">
        <f t="shared" si="1"/>
        <v>4.3260277897149403E-2</v>
      </c>
    </row>
    <row r="35" spans="1:6" ht="15.95" customHeight="1" x14ac:dyDescent="0.25">
      <c r="A35" t="s">
        <v>79</v>
      </c>
      <c r="B35" s="1">
        <v>39975</v>
      </c>
      <c r="C35">
        <f t="shared" si="0"/>
        <v>18</v>
      </c>
      <c r="D35" s="2">
        <v>13939</v>
      </c>
      <c r="E35">
        <v>186</v>
      </c>
      <c r="F35">
        <f t="shared" si="1"/>
        <v>1.3343855369825668E-2</v>
      </c>
    </row>
    <row r="36" spans="1:6" ht="15.95" customHeight="1" x14ac:dyDescent="0.25">
      <c r="A36" t="s">
        <v>81</v>
      </c>
      <c r="B36" s="1">
        <v>39993</v>
      </c>
      <c r="C36">
        <f t="shared" si="0"/>
        <v>12</v>
      </c>
      <c r="D36" s="2">
        <v>14171</v>
      </c>
      <c r="E36">
        <v>116</v>
      </c>
      <c r="F36">
        <f t="shared" si="1"/>
        <v>8.185731423329335E-3</v>
      </c>
    </row>
    <row r="37" spans="1:6" ht="15.95" customHeight="1" x14ac:dyDescent="0.25">
      <c r="A37" t="s">
        <v>84</v>
      </c>
      <c r="B37" s="1">
        <v>40005</v>
      </c>
      <c r="C37">
        <f t="shared" si="0"/>
        <v>7</v>
      </c>
      <c r="D37" s="2">
        <v>14174</v>
      </c>
      <c r="E37">
        <v>9</v>
      </c>
      <c r="F37">
        <f t="shared" si="1"/>
        <v>6.3496542965994069E-4</v>
      </c>
    </row>
    <row r="38" spans="1:6" ht="15.95" customHeight="1" x14ac:dyDescent="0.25">
      <c r="A38" t="s">
        <v>87</v>
      </c>
      <c r="B38" s="1">
        <v>40012</v>
      </c>
      <c r="C38">
        <f t="shared" si="0"/>
        <v>34</v>
      </c>
      <c r="D38" s="2">
        <v>14092</v>
      </c>
      <c r="E38">
        <v>200</v>
      </c>
      <c r="F38">
        <f t="shared" si="1"/>
        <v>1.4192449616803861E-2</v>
      </c>
    </row>
    <row r="39" spans="1:6" ht="15.95" customHeight="1" x14ac:dyDescent="0.25">
      <c r="A39" t="s">
        <v>90</v>
      </c>
      <c r="B39" s="1">
        <v>40046</v>
      </c>
      <c r="C39">
        <f t="shared" si="0"/>
        <v>24</v>
      </c>
      <c r="D39" s="2">
        <v>14109</v>
      </c>
      <c r="E39">
        <v>18</v>
      </c>
      <c r="F39">
        <f t="shared" si="1"/>
        <v>1.2757814161173718E-3</v>
      </c>
    </row>
    <row r="40" spans="1:6" ht="15.95" customHeight="1" x14ac:dyDescent="0.25">
      <c r="A40" t="s">
        <v>93</v>
      </c>
      <c r="B40" s="1">
        <v>40070</v>
      </c>
      <c r="C40">
        <f t="shared" si="0"/>
        <v>0</v>
      </c>
      <c r="D40" s="2">
        <v>14227</v>
      </c>
      <c r="E40">
        <v>55</v>
      </c>
      <c r="F40">
        <f t="shared" si="1"/>
        <v>3.8658888029802487E-3</v>
      </c>
    </row>
    <row r="41" spans="1:6" ht="15.95" customHeight="1" x14ac:dyDescent="0.25">
      <c r="A41" t="s">
        <v>95</v>
      </c>
      <c r="B41" s="1">
        <v>40070</v>
      </c>
      <c r="C41">
        <f t="shared" si="0"/>
        <v>7</v>
      </c>
      <c r="D41" s="2">
        <v>14227</v>
      </c>
      <c r="E41">
        <v>7</v>
      </c>
      <c r="F41">
        <f t="shared" si="1"/>
        <v>4.9202221128839525E-4</v>
      </c>
    </row>
    <row r="42" spans="1:6" ht="15.95" customHeight="1" x14ac:dyDescent="0.25">
      <c r="A42" t="s">
        <v>99</v>
      </c>
      <c r="B42" s="1">
        <v>40077</v>
      </c>
      <c r="C42">
        <f t="shared" si="0"/>
        <v>6</v>
      </c>
      <c r="D42" s="2">
        <v>15241</v>
      </c>
      <c r="E42">
        <v>142</v>
      </c>
      <c r="F42">
        <f t="shared" si="1"/>
        <v>9.3169739518404304E-3</v>
      </c>
    </row>
    <row r="43" spans="1:6" ht="15.95" customHeight="1" x14ac:dyDescent="0.25">
      <c r="A43" t="s">
        <v>101</v>
      </c>
      <c r="B43" s="1">
        <v>40083</v>
      </c>
      <c r="C43">
        <f t="shared" si="0"/>
        <v>5</v>
      </c>
      <c r="D43" s="2">
        <v>15321</v>
      </c>
      <c r="E43">
        <v>227</v>
      </c>
      <c r="F43">
        <f t="shared" si="1"/>
        <v>1.4816265256837021E-2</v>
      </c>
    </row>
    <row r="44" spans="1:6" ht="15.95" customHeight="1" x14ac:dyDescent="0.25">
      <c r="A44" t="s">
        <v>103</v>
      </c>
      <c r="B44" s="1">
        <v>40088</v>
      </c>
      <c r="C44">
        <f t="shared" si="0"/>
        <v>6</v>
      </c>
      <c r="D44" s="2">
        <v>15321</v>
      </c>
      <c r="E44">
        <v>32</v>
      </c>
      <c r="F44">
        <f t="shared" si="1"/>
        <v>2.0886365119770251E-3</v>
      </c>
    </row>
    <row r="45" spans="1:6" ht="15.95" customHeight="1" x14ac:dyDescent="0.25">
      <c r="A45" t="s">
        <v>105</v>
      </c>
      <c r="B45" s="1">
        <v>40094</v>
      </c>
      <c r="C45">
        <f t="shared" si="0"/>
        <v>3</v>
      </c>
      <c r="D45" s="2">
        <v>15321</v>
      </c>
      <c r="E45">
        <v>81</v>
      </c>
      <c r="F45">
        <f t="shared" si="1"/>
        <v>5.2868611709418444E-3</v>
      </c>
    </row>
    <row r="46" spans="1:6" ht="15.95" customHeight="1" x14ac:dyDescent="0.25">
      <c r="A46" t="s">
        <v>108</v>
      </c>
      <c r="B46" s="1">
        <v>40097</v>
      </c>
      <c r="C46">
        <f t="shared" si="0"/>
        <v>14</v>
      </c>
      <c r="D46" s="2">
        <v>15341</v>
      </c>
      <c r="E46">
        <v>23</v>
      </c>
      <c r="F46">
        <f t="shared" si="1"/>
        <v>1.4992503748125937E-3</v>
      </c>
    </row>
    <row r="47" spans="1:6" ht="15.95" customHeight="1" x14ac:dyDescent="0.25">
      <c r="A47" t="s">
        <v>110</v>
      </c>
      <c r="B47" s="1">
        <v>40111</v>
      </c>
      <c r="C47">
        <f t="shared" si="0"/>
        <v>14</v>
      </c>
      <c r="D47" s="2">
        <v>15286</v>
      </c>
      <c r="E47">
        <v>132</v>
      </c>
      <c r="F47">
        <f t="shared" si="1"/>
        <v>8.6353526102315847E-3</v>
      </c>
    </row>
    <row r="48" spans="1:6" ht="15.95" customHeight="1" x14ac:dyDescent="0.25">
      <c r="A48" t="s">
        <v>112</v>
      </c>
      <c r="B48" s="1">
        <v>40125</v>
      </c>
      <c r="C48">
        <f t="shared" si="0"/>
        <v>8</v>
      </c>
      <c r="D48" s="2">
        <v>15209</v>
      </c>
      <c r="E48">
        <v>122</v>
      </c>
      <c r="F48">
        <f t="shared" si="1"/>
        <v>8.0215661779209687E-3</v>
      </c>
    </row>
    <row r="49" spans="1:6" ht="15.95" customHeight="1" x14ac:dyDescent="0.25">
      <c r="A49" t="s">
        <v>114</v>
      </c>
      <c r="B49" s="1">
        <v>40133</v>
      </c>
      <c r="C49">
        <f t="shared" si="0"/>
        <v>28</v>
      </c>
      <c r="D49" s="2">
        <v>15218</v>
      </c>
      <c r="E49">
        <v>26</v>
      </c>
      <c r="F49">
        <f t="shared" si="1"/>
        <v>1.7085030884478906E-3</v>
      </c>
    </row>
    <row r="50" spans="1:6" ht="15.95" customHeight="1" x14ac:dyDescent="0.25">
      <c r="A50" t="s">
        <v>117</v>
      </c>
      <c r="B50" s="1">
        <v>40161</v>
      </c>
      <c r="C50">
        <f t="shared" si="0"/>
        <v>7</v>
      </c>
      <c r="D50" s="2">
        <v>15388</v>
      </c>
      <c r="E50">
        <v>418</v>
      </c>
      <c r="F50">
        <f t="shared" si="1"/>
        <v>2.7164023914738756E-2</v>
      </c>
    </row>
    <row r="51" spans="1:6" ht="15.95" customHeight="1" x14ac:dyDescent="0.25">
      <c r="A51" t="s">
        <v>123</v>
      </c>
      <c r="B51" s="1">
        <v>40168</v>
      </c>
      <c r="C51">
        <f t="shared" si="0"/>
        <v>23</v>
      </c>
      <c r="D51" s="2">
        <v>15391</v>
      </c>
      <c r="E51">
        <v>30</v>
      </c>
      <c r="F51">
        <f t="shared" si="1"/>
        <v>1.9491910856994348E-3</v>
      </c>
    </row>
    <row r="52" spans="1:6" ht="15.95" customHeight="1" x14ac:dyDescent="0.25">
      <c r="A52" t="s">
        <v>126</v>
      </c>
      <c r="B52" s="1">
        <v>40191</v>
      </c>
      <c r="C52">
        <f t="shared" si="0"/>
        <v>48</v>
      </c>
      <c r="D52" s="2">
        <v>15457</v>
      </c>
      <c r="E52">
        <v>317</v>
      </c>
      <c r="F52">
        <f t="shared" si="1"/>
        <v>2.0508507472342629E-2</v>
      </c>
    </row>
    <row r="53" spans="1:6" ht="15.95" customHeight="1" x14ac:dyDescent="0.25">
      <c r="A53" t="s">
        <v>128</v>
      </c>
      <c r="B53" s="1">
        <v>40239</v>
      </c>
      <c r="C53">
        <f t="shared" si="0"/>
        <v>4</v>
      </c>
      <c r="D53" s="2">
        <v>15453</v>
      </c>
      <c r="E53">
        <v>76</v>
      </c>
      <c r="F53">
        <f t="shared" si="1"/>
        <v>4.9181388727108002E-3</v>
      </c>
    </row>
    <row r="54" spans="1:6" ht="15.95" customHeight="1" x14ac:dyDescent="0.25">
      <c r="A54" t="s">
        <v>130</v>
      </c>
      <c r="B54" s="1">
        <v>40243</v>
      </c>
      <c r="C54">
        <f t="shared" si="0"/>
        <v>0</v>
      </c>
      <c r="D54" s="2">
        <v>15500</v>
      </c>
      <c r="E54">
        <v>47</v>
      </c>
      <c r="F54">
        <f t="shared" si="1"/>
        <v>3.0322580645161289E-3</v>
      </c>
    </row>
    <row r="55" spans="1:6" ht="15.95" customHeight="1" x14ac:dyDescent="0.25">
      <c r="A55" t="s">
        <v>132</v>
      </c>
      <c r="B55" s="1">
        <v>40243</v>
      </c>
      <c r="C55">
        <f t="shared" si="0"/>
        <v>3</v>
      </c>
      <c r="D55" s="2">
        <v>15523</v>
      </c>
      <c r="E55">
        <v>53</v>
      </c>
      <c r="F55">
        <f t="shared" si="1"/>
        <v>3.4142884751658829E-3</v>
      </c>
    </row>
    <row r="56" spans="1:6" ht="15.95" customHeight="1" x14ac:dyDescent="0.25">
      <c r="A56" t="s">
        <v>134</v>
      </c>
      <c r="B56" s="1">
        <v>40246</v>
      </c>
      <c r="C56">
        <f t="shared" si="0"/>
        <v>4</v>
      </c>
      <c r="D56" s="2">
        <v>15531</v>
      </c>
      <c r="E56">
        <v>16</v>
      </c>
      <c r="F56">
        <f t="shared" si="1"/>
        <v>1.0301976691777736E-3</v>
      </c>
    </row>
    <row r="57" spans="1:6" ht="15.95" customHeight="1" x14ac:dyDescent="0.25">
      <c r="A57" t="s">
        <v>136</v>
      </c>
      <c r="B57" s="1">
        <v>40250</v>
      </c>
      <c r="C57">
        <f t="shared" si="0"/>
        <v>1</v>
      </c>
      <c r="D57" s="2">
        <v>15509</v>
      </c>
      <c r="E57">
        <v>83</v>
      </c>
      <c r="F57">
        <f t="shared" si="1"/>
        <v>5.3517312528209423E-3</v>
      </c>
    </row>
    <row r="58" spans="1:6" ht="15.95" customHeight="1" x14ac:dyDescent="0.25">
      <c r="A58" t="s">
        <v>138</v>
      </c>
      <c r="B58" s="1">
        <v>40251</v>
      </c>
      <c r="C58">
        <f t="shared" si="0"/>
        <v>2</v>
      </c>
      <c r="D58" s="2">
        <v>15533</v>
      </c>
      <c r="E58">
        <v>31</v>
      </c>
      <c r="F58">
        <f t="shared" si="1"/>
        <v>1.995750981780725E-3</v>
      </c>
    </row>
    <row r="59" spans="1:6" ht="15.95" customHeight="1" x14ac:dyDescent="0.25">
      <c r="A59" t="s">
        <v>140</v>
      </c>
      <c r="B59" s="1">
        <v>40253</v>
      </c>
      <c r="C59">
        <f t="shared" si="0"/>
        <v>26</v>
      </c>
      <c r="D59" s="2">
        <v>15568</v>
      </c>
      <c r="E59">
        <v>112</v>
      </c>
      <c r="F59">
        <f t="shared" si="1"/>
        <v>7.1942446043165471E-3</v>
      </c>
    </row>
    <row r="60" spans="1:6" ht="15.95" customHeight="1" x14ac:dyDescent="0.25">
      <c r="A60" t="s">
        <v>141</v>
      </c>
      <c r="B60" s="1">
        <v>40279</v>
      </c>
      <c r="C60">
        <f t="shared" si="0"/>
        <v>5</v>
      </c>
      <c r="D60">
        <v>15677</v>
      </c>
      <c r="E60">
        <v>178</v>
      </c>
      <c r="F60">
        <f t="shared" si="1"/>
        <v>1.1354213178541813E-2</v>
      </c>
    </row>
    <row r="61" spans="1:6" ht="15.95" customHeight="1" x14ac:dyDescent="0.25">
      <c r="A61" t="s">
        <v>143</v>
      </c>
      <c r="B61" s="1">
        <v>40284</v>
      </c>
      <c r="C61">
        <f t="shared" si="0"/>
        <v>3</v>
      </c>
      <c r="D61">
        <v>15746</v>
      </c>
      <c r="E61">
        <v>107</v>
      </c>
      <c r="F61">
        <f t="shared" si="1"/>
        <v>6.7953766035818621E-3</v>
      </c>
    </row>
    <row r="62" spans="1:6" ht="15.95" customHeight="1" x14ac:dyDescent="0.25">
      <c r="A62" t="s">
        <v>145</v>
      </c>
      <c r="B62" s="1">
        <v>40287</v>
      </c>
      <c r="C62">
        <f t="shared" si="0"/>
        <v>24</v>
      </c>
      <c r="D62">
        <v>15741</v>
      </c>
      <c r="E62">
        <v>36</v>
      </c>
      <c r="F62">
        <f t="shared" si="1"/>
        <v>2.2870211549456832E-3</v>
      </c>
    </row>
    <row r="63" spans="1:6" ht="15.95" customHeight="1" x14ac:dyDescent="0.25">
      <c r="A63" t="s">
        <v>147</v>
      </c>
      <c r="B63" s="1">
        <v>40311</v>
      </c>
      <c r="C63">
        <f t="shared" si="0"/>
        <v>131</v>
      </c>
      <c r="D63">
        <v>15754</v>
      </c>
      <c r="E63">
        <v>40</v>
      </c>
      <c r="F63">
        <f t="shared" si="1"/>
        <v>2.5390377047099151E-3</v>
      </c>
    </row>
    <row r="64" spans="1:6" ht="15.95" customHeight="1" x14ac:dyDescent="0.25">
      <c r="A64" t="s">
        <v>149</v>
      </c>
      <c r="B64" s="1">
        <v>40442</v>
      </c>
      <c r="C64">
        <f t="shared" si="0"/>
        <v>110</v>
      </c>
      <c r="D64">
        <v>15760</v>
      </c>
      <c r="E64">
        <v>13</v>
      </c>
      <c r="F64">
        <f t="shared" si="1"/>
        <v>8.2487309644670051E-4</v>
      </c>
    </row>
    <row r="65" spans="1:6" ht="15.95" customHeight="1" x14ac:dyDescent="0.25">
      <c r="A65" t="s">
        <v>150</v>
      </c>
      <c r="B65" s="1">
        <v>40552</v>
      </c>
      <c r="D65">
        <v>15760</v>
      </c>
      <c r="E65">
        <v>10</v>
      </c>
      <c r="F65">
        <f t="shared" si="1"/>
        <v>6.3451776649746188E-4</v>
      </c>
    </row>
    <row r="66" spans="1:6" ht="14.25" customHeight="1" x14ac:dyDescent="0.25">
      <c r="D66">
        <f>SUM(D6:D65)</f>
        <v>767798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93"/>
  <sheetViews>
    <sheetView topLeftCell="A79" workbookViewId="0">
      <selection activeCell="D7" sqref="D7:D87"/>
    </sheetView>
  </sheetViews>
  <sheetFormatPr defaultColWidth="14.42578125" defaultRowHeight="15" customHeight="1" x14ac:dyDescent="0.25"/>
  <cols>
    <col min="1" max="1" width="9.85546875" customWidth="1"/>
    <col min="2" max="2" width="12.140625" customWidth="1"/>
    <col min="3" max="3" width="4.5703125" customWidth="1"/>
    <col min="4" max="22" width="8.7109375" customWidth="1"/>
  </cols>
  <sheetData>
    <row r="1" spans="1:6" ht="14.25" customHeight="1" x14ac:dyDescent="0.25">
      <c r="B1" s="1"/>
      <c r="C1" t="s">
        <v>0</v>
      </c>
      <c r="D1" t="s">
        <v>210</v>
      </c>
      <c r="E1" s="5" t="s">
        <v>440</v>
      </c>
      <c r="F1" s="5" t="s">
        <v>441</v>
      </c>
    </row>
    <row r="2" spans="1:6" ht="14.25" customHeight="1" x14ac:dyDescent="0.25">
      <c r="B2" s="1" t="s">
        <v>1</v>
      </c>
      <c r="C2">
        <f>AVERAGE(C6:C86)</f>
        <v>19.137499999999999</v>
      </c>
      <c r="D2">
        <f>AVERAGE(D6:D86)</f>
        <v>103184.65432098765</v>
      </c>
      <c r="E2">
        <f>AVERAGE(E7:E86)</f>
        <v>229.72499999999999</v>
      </c>
      <c r="F2">
        <f>AVERAGE(F6:F86)</f>
        <v>2.4136836022200145E-3</v>
      </c>
    </row>
    <row r="3" spans="1:6" ht="14.25" customHeight="1" x14ac:dyDescent="0.25">
      <c r="B3" s="1" t="s">
        <v>2</v>
      </c>
      <c r="C3">
        <f>MEDIAN(C6:C86)</f>
        <v>11</v>
      </c>
      <c r="D3">
        <f>MEDIAN(D6:D86)</f>
        <v>103115</v>
      </c>
      <c r="E3">
        <f>MEDIAN(E7:E86)</f>
        <v>75.5</v>
      </c>
      <c r="F3">
        <f>MEDIAN(F6:F86)</f>
        <v>7.7130736598534516E-4</v>
      </c>
    </row>
    <row r="4" spans="1:6" ht="14.25" customHeight="1" x14ac:dyDescent="0.25">
      <c r="B4" s="1" t="s">
        <v>3</v>
      </c>
      <c r="C4">
        <f>STDEV(C6:C86)</f>
        <v>31.249402525933967</v>
      </c>
      <c r="D4">
        <f>STDEV(D6:D86)</f>
        <v>9439.184509480272</v>
      </c>
      <c r="E4">
        <f>STDEV(E7:E86)</f>
        <v>664.15584519663821</v>
      </c>
      <c r="F4">
        <f>STDEV(F6:F86)</f>
        <v>7.4325217409770402E-3</v>
      </c>
    </row>
    <row r="5" spans="1:6" ht="14.25" customHeight="1" x14ac:dyDescent="0.25">
      <c r="A5" t="s">
        <v>4</v>
      </c>
      <c r="B5" s="1" t="s">
        <v>5</v>
      </c>
    </row>
    <row r="6" spans="1:6" ht="14.25" customHeight="1" x14ac:dyDescent="0.25">
      <c r="A6" t="s">
        <v>194</v>
      </c>
      <c r="B6" s="1">
        <v>41446</v>
      </c>
      <c r="C6">
        <f t="shared" ref="C6:C37" si="0">DATEDIF(B6,B7,"d")</f>
        <v>76</v>
      </c>
      <c r="D6">
        <v>84400</v>
      </c>
    </row>
    <row r="7" spans="1:6" ht="14.25" customHeight="1" x14ac:dyDescent="0.25">
      <c r="A7" t="s">
        <v>7</v>
      </c>
      <c r="B7" s="1">
        <v>41522</v>
      </c>
      <c r="C7">
        <f t="shared" si="0"/>
        <v>7</v>
      </c>
      <c r="D7">
        <v>87148</v>
      </c>
      <c r="E7">
        <v>3918</v>
      </c>
      <c r="F7">
        <f>E7/D7</f>
        <v>4.4958002478542251E-2</v>
      </c>
    </row>
    <row r="8" spans="1:6" ht="14.25" customHeight="1" x14ac:dyDescent="0.25">
      <c r="A8" t="s">
        <v>9</v>
      </c>
      <c r="B8" s="1">
        <v>41529</v>
      </c>
      <c r="C8">
        <f t="shared" si="0"/>
        <v>19</v>
      </c>
      <c r="D8">
        <v>87248</v>
      </c>
      <c r="E8">
        <v>75</v>
      </c>
      <c r="F8">
        <f t="shared" ref="F8:F71" si="1">E8/D8</f>
        <v>8.5961855859160096E-4</v>
      </c>
    </row>
    <row r="9" spans="1:6" ht="14.25" customHeight="1" x14ac:dyDescent="0.25">
      <c r="A9" t="s">
        <v>12</v>
      </c>
      <c r="B9" s="1">
        <v>41548</v>
      </c>
      <c r="C9">
        <f t="shared" si="0"/>
        <v>27</v>
      </c>
      <c r="D9">
        <v>87392</v>
      </c>
      <c r="E9">
        <v>187</v>
      </c>
      <c r="F9">
        <f t="shared" si="1"/>
        <v>2.1397839619187111E-3</v>
      </c>
    </row>
    <row r="10" spans="1:6" ht="14.25" customHeight="1" x14ac:dyDescent="0.25">
      <c r="A10" t="s">
        <v>14</v>
      </c>
      <c r="B10" s="1">
        <v>41575</v>
      </c>
      <c r="C10">
        <f t="shared" si="0"/>
        <v>1</v>
      </c>
      <c r="D10">
        <v>88250</v>
      </c>
      <c r="E10">
        <v>257</v>
      </c>
      <c r="F10">
        <f t="shared" si="1"/>
        <v>2.9121813031161474E-3</v>
      </c>
    </row>
    <row r="11" spans="1:6" ht="14.25" customHeight="1" x14ac:dyDescent="0.25">
      <c r="A11" t="s">
        <v>18</v>
      </c>
      <c r="B11" s="1">
        <v>41576</v>
      </c>
      <c r="C11">
        <f t="shared" si="0"/>
        <v>27</v>
      </c>
      <c r="D11">
        <v>88295</v>
      </c>
      <c r="E11">
        <v>36</v>
      </c>
      <c r="F11">
        <f t="shared" si="1"/>
        <v>4.0772410668780794E-4</v>
      </c>
    </row>
    <row r="12" spans="1:6" ht="14.25" customHeight="1" x14ac:dyDescent="0.25">
      <c r="A12" t="s">
        <v>21</v>
      </c>
      <c r="B12" s="1">
        <v>41603</v>
      </c>
      <c r="C12">
        <f t="shared" si="0"/>
        <v>1</v>
      </c>
      <c r="D12">
        <v>88295</v>
      </c>
      <c r="E12">
        <v>16</v>
      </c>
      <c r="F12">
        <f t="shared" si="1"/>
        <v>1.8121071408347018E-4</v>
      </c>
    </row>
    <row r="13" spans="1:6" ht="14.25" customHeight="1" x14ac:dyDescent="0.25">
      <c r="A13" t="s">
        <v>25</v>
      </c>
      <c r="B13" s="1">
        <v>41604</v>
      </c>
      <c r="C13">
        <f t="shared" si="0"/>
        <v>17</v>
      </c>
      <c r="D13">
        <v>88336</v>
      </c>
      <c r="E13">
        <v>72</v>
      </c>
      <c r="F13">
        <f t="shared" si="1"/>
        <v>8.1506973374388702E-4</v>
      </c>
    </row>
    <row r="14" spans="1:6" ht="14.25" customHeight="1" x14ac:dyDescent="0.25">
      <c r="A14" t="s">
        <v>30</v>
      </c>
      <c r="B14" s="1">
        <v>41621</v>
      </c>
      <c r="C14">
        <f t="shared" si="0"/>
        <v>28</v>
      </c>
      <c r="D14">
        <v>88680</v>
      </c>
      <c r="E14">
        <v>216</v>
      </c>
      <c r="F14">
        <f t="shared" si="1"/>
        <v>2.4357239512855212E-3</v>
      </c>
    </row>
    <row r="15" spans="1:6" ht="14.25" customHeight="1" x14ac:dyDescent="0.25">
      <c r="A15" t="s">
        <v>34</v>
      </c>
      <c r="B15" s="1">
        <v>41649</v>
      </c>
      <c r="C15">
        <f t="shared" si="0"/>
        <v>21</v>
      </c>
      <c r="D15">
        <v>90831</v>
      </c>
      <c r="E15">
        <v>4418</v>
      </c>
      <c r="F15">
        <f t="shared" si="1"/>
        <v>4.8639781572370665E-2</v>
      </c>
    </row>
    <row r="16" spans="1:6" ht="14.25" customHeight="1" x14ac:dyDescent="0.25">
      <c r="A16" t="s">
        <v>37</v>
      </c>
      <c r="B16" s="1">
        <v>41670</v>
      </c>
      <c r="C16">
        <f t="shared" si="0"/>
        <v>3</v>
      </c>
      <c r="D16">
        <v>90834</v>
      </c>
      <c r="E16">
        <v>3</v>
      </c>
      <c r="F16">
        <f t="shared" si="1"/>
        <v>3.3027280533720854E-5</v>
      </c>
    </row>
    <row r="17" spans="1:6" ht="14.25" customHeight="1" x14ac:dyDescent="0.25">
      <c r="A17" t="s">
        <v>39</v>
      </c>
      <c r="B17" s="1">
        <v>41673</v>
      </c>
      <c r="C17">
        <f t="shared" si="0"/>
        <v>4</v>
      </c>
      <c r="D17">
        <v>91070</v>
      </c>
      <c r="E17">
        <v>15</v>
      </c>
      <c r="F17">
        <f t="shared" si="1"/>
        <v>1.6470846601515318E-4</v>
      </c>
    </row>
    <row r="18" spans="1:6" ht="14.25" customHeight="1" x14ac:dyDescent="0.25">
      <c r="A18" t="s">
        <v>42</v>
      </c>
      <c r="B18" s="1">
        <v>41677</v>
      </c>
      <c r="C18">
        <f t="shared" si="0"/>
        <v>14</v>
      </c>
      <c r="D18">
        <v>91617</v>
      </c>
      <c r="E18">
        <v>238</v>
      </c>
      <c r="F18">
        <f t="shared" si="1"/>
        <v>2.5977711560081643E-3</v>
      </c>
    </row>
    <row r="19" spans="1:6" ht="14.25" customHeight="1" x14ac:dyDescent="0.25">
      <c r="A19" t="s">
        <v>45</v>
      </c>
      <c r="B19" s="1">
        <v>41691</v>
      </c>
      <c r="C19">
        <f t="shared" si="0"/>
        <v>47</v>
      </c>
      <c r="D19">
        <v>92202</v>
      </c>
      <c r="E19">
        <v>192</v>
      </c>
      <c r="F19">
        <f t="shared" si="1"/>
        <v>2.0823843300579164E-3</v>
      </c>
    </row>
    <row r="20" spans="1:6" ht="14.25" customHeight="1" x14ac:dyDescent="0.25">
      <c r="A20" t="s">
        <v>48</v>
      </c>
      <c r="B20" s="1">
        <v>41738</v>
      </c>
      <c r="C20">
        <f t="shared" si="0"/>
        <v>1</v>
      </c>
      <c r="D20">
        <v>92363</v>
      </c>
      <c r="E20">
        <v>163</v>
      </c>
      <c r="F20">
        <f t="shared" si="1"/>
        <v>1.7647759384168986E-3</v>
      </c>
    </row>
    <row r="21" spans="1:6" ht="14.25" customHeight="1" x14ac:dyDescent="0.25">
      <c r="A21" t="s">
        <v>52</v>
      </c>
      <c r="B21" s="1">
        <v>41739</v>
      </c>
      <c r="C21">
        <f t="shared" si="0"/>
        <v>5</v>
      </c>
      <c r="D21">
        <v>92363</v>
      </c>
      <c r="E21">
        <v>0</v>
      </c>
      <c r="F21">
        <f t="shared" si="1"/>
        <v>0</v>
      </c>
    </row>
    <row r="22" spans="1:6" ht="14.25" customHeight="1" x14ac:dyDescent="0.25">
      <c r="A22" t="s">
        <v>55</v>
      </c>
      <c r="B22" s="1">
        <v>41744</v>
      </c>
      <c r="C22">
        <f t="shared" si="0"/>
        <v>1</v>
      </c>
      <c r="D22">
        <v>92439</v>
      </c>
      <c r="E22">
        <v>16</v>
      </c>
      <c r="F22">
        <f t="shared" si="1"/>
        <v>1.7308711690952952E-4</v>
      </c>
    </row>
    <row r="23" spans="1:6" ht="14.25" customHeight="1" x14ac:dyDescent="0.25">
      <c r="A23" t="s">
        <v>59</v>
      </c>
      <c r="B23" s="1">
        <v>41745</v>
      </c>
      <c r="C23">
        <f t="shared" si="0"/>
        <v>15</v>
      </c>
      <c r="D23">
        <v>92441</v>
      </c>
      <c r="E23">
        <v>8</v>
      </c>
      <c r="F23">
        <f t="shared" si="1"/>
        <v>8.654168604839844E-5</v>
      </c>
    </row>
    <row r="24" spans="1:6" ht="14.25" customHeight="1" x14ac:dyDescent="0.25">
      <c r="A24" t="s">
        <v>61</v>
      </c>
      <c r="B24" s="1">
        <v>41760</v>
      </c>
      <c r="C24">
        <f t="shared" si="0"/>
        <v>26</v>
      </c>
      <c r="D24">
        <v>97244</v>
      </c>
      <c r="E24">
        <v>402</v>
      </c>
      <c r="F24">
        <f t="shared" si="1"/>
        <v>4.1339311422812722E-3</v>
      </c>
    </row>
    <row r="25" spans="1:6" ht="14.25" customHeight="1" x14ac:dyDescent="0.25">
      <c r="A25" t="s">
        <v>65</v>
      </c>
      <c r="B25" s="1">
        <v>41786</v>
      </c>
      <c r="C25">
        <f t="shared" si="0"/>
        <v>7</v>
      </c>
      <c r="D25">
        <v>97847</v>
      </c>
      <c r="E25">
        <v>597</v>
      </c>
      <c r="F25">
        <f t="shared" si="1"/>
        <v>6.1013623309861317E-3</v>
      </c>
    </row>
    <row r="26" spans="1:6" ht="14.25" customHeight="1" x14ac:dyDescent="0.25">
      <c r="A26" t="s">
        <v>68</v>
      </c>
      <c r="B26" s="1">
        <v>41793</v>
      </c>
      <c r="C26">
        <f t="shared" si="0"/>
        <v>3</v>
      </c>
      <c r="D26">
        <v>97890</v>
      </c>
      <c r="E26">
        <v>16</v>
      </c>
      <c r="F26">
        <f t="shared" si="1"/>
        <v>1.6344876902645827E-4</v>
      </c>
    </row>
    <row r="27" spans="1:6" ht="14.25" customHeight="1" x14ac:dyDescent="0.25">
      <c r="A27" t="s">
        <v>71</v>
      </c>
      <c r="B27" s="1">
        <v>41796</v>
      </c>
      <c r="C27">
        <f t="shared" si="0"/>
        <v>18</v>
      </c>
      <c r="D27">
        <v>97890</v>
      </c>
      <c r="E27">
        <v>0</v>
      </c>
      <c r="F27">
        <f t="shared" si="1"/>
        <v>0</v>
      </c>
    </row>
    <row r="28" spans="1:6" ht="14.25" customHeight="1" x14ac:dyDescent="0.25">
      <c r="A28" t="s">
        <v>74</v>
      </c>
      <c r="B28" s="1">
        <v>41814</v>
      </c>
      <c r="C28">
        <f t="shared" si="0"/>
        <v>8</v>
      </c>
      <c r="D28">
        <v>97916</v>
      </c>
      <c r="E28">
        <v>171</v>
      </c>
      <c r="F28">
        <f t="shared" si="1"/>
        <v>1.746394869071449E-3</v>
      </c>
    </row>
    <row r="29" spans="1:6" ht="14.25" customHeight="1" x14ac:dyDescent="0.25">
      <c r="A29" t="s">
        <v>77</v>
      </c>
      <c r="B29" s="1">
        <v>41822</v>
      </c>
      <c r="C29">
        <f t="shared" si="0"/>
        <v>21</v>
      </c>
      <c r="D29">
        <v>97927</v>
      </c>
      <c r="E29">
        <v>9</v>
      </c>
      <c r="F29">
        <f t="shared" si="1"/>
        <v>9.1905194685837406E-5</v>
      </c>
    </row>
    <row r="30" spans="1:6" ht="14.25" customHeight="1" x14ac:dyDescent="0.25">
      <c r="A30" t="s">
        <v>80</v>
      </c>
      <c r="B30" s="1">
        <v>41843</v>
      </c>
      <c r="C30">
        <f t="shared" si="0"/>
        <v>9</v>
      </c>
      <c r="D30">
        <v>97966</v>
      </c>
      <c r="E30">
        <v>26</v>
      </c>
      <c r="F30">
        <f t="shared" si="1"/>
        <v>2.6539819937529348E-4</v>
      </c>
    </row>
    <row r="31" spans="1:6" ht="14.25" customHeight="1" x14ac:dyDescent="0.25">
      <c r="A31" t="s">
        <v>82</v>
      </c>
      <c r="B31" s="1">
        <v>41852</v>
      </c>
      <c r="C31">
        <f t="shared" si="0"/>
        <v>10</v>
      </c>
      <c r="D31">
        <v>98045</v>
      </c>
      <c r="E31">
        <v>185</v>
      </c>
      <c r="F31">
        <f t="shared" si="1"/>
        <v>1.8868886735682595E-3</v>
      </c>
    </row>
    <row r="32" spans="1:6" ht="14.25" customHeight="1" x14ac:dyDescent="0.25">
      <c r="A32" t="s">
        <v>85</v>
      </c>
      <c r="B32" s="1">
        <v>41862</v>
      </c>
      <c r="C32">
        <f t="shared" si="0"/>
        <v>14</v>
      </c>
      <c r="D32">
        <v>97990</v>
      </c>
      <c r="E32">
        <v>132</v>
      </c>
      <c r="F32">
        <f t="shared" si="1"/>
        <v>1.3470762322685989E-3</v>
      </c>
    </row>
    <row r="33" spans="1:6" ht="14.25" customHeight="1" x14ac:dyDescent="0.25">
      <c r="A33" t="s">
        <v>88</v>
      </c>
      <c r="B33" s="1">
        <v>41876</v>
      </c>
      <c r="C33">
        <f t="shared" si="0"/>
        <v>1</v>
      </c>
      <c r="D33">
        <v>97984</v>
      </c>
      <c r="E33">
        <v>169</v>
      </c>
      <c r="F33">
        <f t="shared" si="1"/>
        <v>1.7247713912475506E-3</v>
      </c>
    </row>
    <row r="34" spans="1:6" ht="14.25" customHeight="1" x14ac:dyDescent="0.25">
      <c r="A34" t="s">
        <v>91</v>
      </c>
      <c r="B34" s="1">
        <v>41877</v>
      </c>
      <c r="C34">
        <f t="shared" si="0"/>
        <v>7</v>
      </c>
      <c r="D34">
        <v>98014</v>
      </c>
      <c r="E34">
        <v>33</v>
      </c>
      <c r="F34">
        <f t="shared" si="1"/>
        <v>3.3668659579243784E-4</v>
      </c>
    </row>
    <row r="35" spans="1:6" ht="14.25" customHeight="1" x14ac:dyDescent="0.25">
      <c r="A35" t="s">
        <v>94</v>
      </c>
      <c r="B35" s="1">
        <v>41884</v>
      </c>
      <c r="C35">
        <f t="shared" si="0"/>
        <v>2</v>
      </c>
      <c r="D35">
        <v>98030</v>
      </c>
      <c r="E35">
        <v>101</v>
      </c>
      <c r="F35">
        <f t="shared" si="1"/>
        <v>1.030296847903703E-3</v>
      </c>
    </row>
    <row r="36" spans="1:6" ht="14.25" customHeight="1" x14ac:dyDescent="0.25">
      <c r="A36" t="s">
        <v>97</v>
      </c>
      <c r="B36" s="1">
        <v>41886</v>
      </c>
      <c r="C36">
        <f t="shared" si="0"/>
        <v>18</v>
      </c>
      <c r="D36">
        <v>98050</v>
      </c>
      <c r="E36">
        <v>19</v>
      </c>
      <c r="F36">
        <f t="shared" si="1"/>
        <v>1.9377868434472209E-4</v>
      </c>
    </row>
    <row r="37" spans="1:6" ht="14.25" customHeight="1" x14ac:dyDescent="0.25">
      <c r="A37" t="s">
        <v>100</v>
      </c>
      <c r="B37" s="1">
        <v>41904</v>
      </c>
      <c r="C37">
        <f t="shared" si="0"/>
        <v>11</v>
      </c>
      <c r="D37">
        <v>98238</v>
      </c>
      <c r="E37">
        <v>131</v>
      </c>
      <c r="F37">
        <f t="shared" si="1"/>
        <v>1.3334962030985974E-3</v>
      </c>
    </row>
    <row r="38" spans="1:6" ht="14.25" customHeight="1" x14ac:dyDescent="0.25">
      <c r="A38" t="s">
        <v>104</v>
      </c>
      <c r="B38" s="1">
        <v>41915</v>
      </c>
      <c r="C38">
        <f t="shared" ref="C38:C69" si="2">DATEDIF(B38,B39,"d")</f>
        <v>4</v>
      </c>
      <c r="D38">
        <v>98996</v>
      </c>
      <c r="E38">
        <v>81</v>
      </c>
      <c r="F38">
        <f t="shared" si="1"/>
        <v>8.182148773687826E-4</v>
      </c>
    </row>
    <row r="39" spans="1:6" ht="14.25" customHeight="1" x14ac:dyDescent="0.25">
      <c r="A39" t="s">
        <v>106</v>
      </c>
      <c r="B39" s="1">
        <v>41919</v>
      </c>
      <c r="C39">
        <f t="shared" si="2"/>
        <v>49</v>
      </c>
      <c r="D39">
        <v>98996</v>
      </c>
      <c r="E39">
        <v>0</v>
      </c>
      <c r="F39">
        <f t="shared" si="1"/>
        <v>0</v>
      </c>
    </row>
    <row r="40" spans="1:6" ht="14.25" customHeight="1" x14ac:dyDescent="0.25">
      <c r="A40" t="s">
        <v>109</v>
      </c>
      <c r="B40" s="1">
        <v>41968</v>
      </c>
      <c r="C40">
        <f t="shared" si="2"/>
        <v>13</v>
      </c>
      <c r="D40">
        <v>100384</v>
      </c>
      <c r="E40">
        <v>284</v>
      </c>
      <c r="F40">
        <f t="shared" si="1"/>
        <v>2.8291361173095313E-3</v>
      </c>
    </row>
    <row r="41" spans="1:6" ht="14.25" customHeight="1" x14ac:dyDescent="0.25">
      <c r="A41" t="s">
        <v>111</v>
      </c>
      <c r="B41" s="1">
        <v>41981</v>
      </c>
      <c r="C41">
        <f t="shared" si="2"/>
        <v>35</v>
      </c>
      <c r="D41">
        <v>100468</v>
      </c>
      <c r="E41">
        <v>83</v>
      </c>
      <c r="F41">
        <f t="shared" si="1"/>
        <v>8.261336943106263E-4</v>
      </c>
    </row>
    <row r="42" spans="1:6" ht="14.25" customHeight="1" x14ac:dyDescent="0.25">
      <c r="A42" t="s">
        <v>113</v>
      </c>
      <c r="B42" s="1">
        <v>42016</v>
      </c>
      <c r="C42">
        <f t="shared" si="2"/>
        <v>22</v>
      </c>
      <c r="D42">
        <v>102076</v>
      </c>
      <c r="E42">
        <v>239</v>
      </c>
      <c r="F42">
        <f t="shared" si="1"/>
        <v>2.3413926878012459E-3</v>
      </c>
    </row>
    <row r="43" spans="1:6" ht="14.25" customHeight="1" x14ac:dyDescent="0.25">
      <c r="A43" t="s">
        <v>115</v>
      </c>
      <c r="B43" s="1">
        <v>42038</v>
      </c>
      <c r="C43">
        <f t="shared" si="2"/>
        <v>29</v>
      </c>
      <c r="D43">
        <v>102155</v>
      </c>
      <c r="E43">
        <v>76</v>
      </c>
      <c r="F43">
        <f t="shared" si="1"/>
        <v>7.4396750036708923E-4</v>
      </c>
    </row>
    <row r="44" spans="1:6" ht="14.25" customHeight="1" x14ac:dyDescent="0.25">
      <c r="A44" t="s">
        <v>118</v>
      </c>
      <c r="B44" s="1">
        <v>42067</v>
      </c>
      <c r="C44">
        <f t="shared" si="2"/>
        <v>13</v>
      </c>
      <c r="D44">
        <v>102214</v>
      </c>
      <c r="E44">
        <v>73</v>
      </c>
      <c r="F44">
        <f t="shared" si="1"/>
        <v>7.1418788032950474E-4</v>
      </c>
    </row>
    <row r="45" spans="1:6" ht="14.25" customHeight="1" x14ac:dyDescent="0.25">
      <c r="A45" t="s">
        <v>120</v>
      </c>
      <c r="B45" s="1">
        <v>42080</v>
      </c>
      <c r="C45">
        <f t="shared" si="2"/>
        <v>24</v>
      </c>
      <c r="D45">
        <v>101889</v>
      </c>
      <c r="E45">
        <v>93</v>
      </c>
      <c r="F45">
        <f t="shared" si="1"/>
        <v>9.1275800135441512E-4</v>
      </c>
    </row>
    <row r="46" spans="1:6" ht="14.25" customHeight="1" x14ac:dyDescent="0.25">
      <c r="A46" t="s">
        <v>122</v>
      </c>
      <c r="B46" s="1">
        <v>42104</v>
      </c>
      <c r="C46">
        <f t="shared" si="2"/>
        <v>5</v>
      </c>
      <c r="D46">
        <v>103165</v>
      </c>
      <c r="E46">
        <v>70</v>
      </c>
      <c r="F46">
        <f t="shared" si="1"/>
        <v>6.7852469345223672E-4</v>
      </c>
    </row>
    <row r="47" spans="1:6" ht="14.25" customHeight="1" x14ac:dyDescent="0.25">
      <c r="A47" t="s">
        <v>125</v>
      </c>
      <c r="B47" s="1">
        <v>42109</v>
      </c>
      <c r="C47">
        <f t="shared" si="2"/>
        <v>8</v>
      </c>
      <c r="D47">
        <v>103115</v>
      </c>
      <c r="E47">
        <v>275</v>
      </c>
      <c r="F47">
        <f t="shared" si="1"/>
        <v>2.6669252776026766E-3</v>
      </c>
    </row>
    <row r="48" spans="1:6" ht="14.25" customHeight="1" x14ac:dyDescent="0.25">
      <c r="A48" t="s">
        <v>127</v>
      </c>
      <c r="B48" s="1">
        <v>42117</v>
      </c>
      <c r="C48">
        <f t="shared" si="2"/>
        <v>8</v>
      </c>
      <c r="D48">
        <v>103961</v>
      </c>
      <c r="E48">
        <v>119</v>
      </c>
      <c r="F48">
        <f t="shared" si="1"/>
        <v>1.1446600167370456E-3</v>
      </c>
    </row>
    <row r="49" spans="1:6" ht="14.25" customHeight="1" x14ac:dyDescent="0.25">
      <c r="A49" t="s">
        <v>129</v>
      </c>
      <c r="B49" s="1">
        <v>42125</v>
      </c>
      <c r="C49">
        <f t="shared" si="2"/>
        <v>10</v>
      </c>
      <c r="D49">
        <v>104027</v>
      </c>
      <c r="E49">
        <v>11</v>
      </c>
      <c r="F49">
        <f t="shared" si="1"/>
        <v>1.0574177857671566E-4</v>
      </c>
    </row>
    <row r="50" spans="1:6" ht="14.25" customHeight="1" x14ac:dyDescent="0.25">
      <c r="A50" t="s">
        <v>131</v>
      </c>
      <c r="B50" s="1">
        <v>42135</v>
      </c>
      <c r="C50">
        <f t="shared" si="2"/>
        <v>11</v>
      </c>
      <c r="D50">
        <v>104158</v>
      </c>
      <c r="E50">
        <v>161</v>
      </c>
      <c r="F50">
        <f t="shared" si="1"/>
        <v>1.5457286046199044E-3</v>
      </c>
    </row>
    <row r="51" spans="1:6" ht="14.25" customHeight="1" x14ac:dyDescent="0.25">
      <c r="A51" t="s">
        <v>133</v>
      </c>
      <c r="B51" s="1">
        <v>42146</v>
      </c>
      <c r="C51">
        <f t="shared" si="2"/>
        <v>14</v>
      </c>
      <c r="D51">
        <v>107321</v>
      </c>
      <c r="E51">
        <v>1431</v>
      </c>
      <c r="F51">
        <f t="shared" si="1"/>
        <v>1.3333830284846396E-2</v>
      </c>
    </row>
    <row r="52" spans="1:6" ht="14.25" customHeight="1" x14ac:dyDescent="0.25">
      <c r="A52" t="s">
        <v>135</v>
      </c>
      <c r="B52" s="1">
        <v>42160</v>
      </c>
      <c r="C52">
        <f t="shared" si="2"/>
        <v>4</v>
      </c>
      <c r="D52">
        <v>107341</v>
      </c>
      <c r="E52">
        <v>13</v>
      </c>
      <c r="F52">
        <f t="shared" si="1"/>
        <v>1.2110936175366356E-4</v>
      </c>
    </row>
    <row r="53" spans="1:6" ht="14.25" customHeight="1" x14ac:dyDescent="0.25">
      <c r="A53" t="s">
        <v>137</v>
      </c>
      <c r="B53" s="1">
        <v>42164</v>
      </c>
      <c r="C53">
        <f t="shared" si="2"/>
        <v>3</v>
      </c>
      <c r="D53">
        <v>107341</v>
      </c>
      <c r="E53">
        <v>6</v>
      </c>
      <c r="F53">
        <f t="shared" si="1"/>
        <v>5.5896628501690872E-5</v>
      </c>
    </row>
    <row r="54" spans="1:6" ht="14.25" customHeight="1" x14ac:dyDescent="0.25">
      <c r="A54" t="s">
        <v>139</v>
      </c>
      <c r="B54" s="1">
        <v>42167</v>
      </c>
      <c r="C54">
        <f t="shared" si="2"/>
        <v>8</v>
      </c>
      <c r="D54">
        <v>107391</v>
      </c>
      <c r="E54">
        <v>67</v>
      </c>
      <c r="F54">
        <f t="shared" si="1"/>
        <v>6.2388840778091273E-4</v>
      </c>
    </row>
    <row r="55" spans="1:6" ht="14.25" customHeight="1" x14ac:dyDescent="0.25">
      <c r="A55" t="s">
        <v>142</v>
      </c>
      <c r="B55" s="1">
        <v>42175</v>
      </c>
      <c r="C55">
        <f t="shared" si="2"/>
        <v>55</v>
      </c>
      <c r="D55">
        <v>109406</v>
      </c>
      <c r="E55">
        <v>328</v>
      </c>
      <c r="F55">
        <f t="shared" si="1"/>
        <v>2.9980074218964223E-3</v>
      </c>
    </row>
    <row r="56" spans="1:6" ht="14.25" customHeight="1" x14ac:dyDescent="0.25">
      <c r="A56" t="s">
        <v>144</v>
      </c>
      <c r="B56" s="1">
        <v>42230</v>
      </c>
      <c r="C56">
        <f t="shared" si="2"/>
        <v>31</v>
      </c>
      <c r="D56">
        <v>109406</v>
      </c>
      <c r="E56">
        <v>160</v>
      </c>
      <c r="F56">
        <f t="shared" si="1"/>
        <v>1.4624426448275232E-3</v>
      </c>
    </row>
    <row r="57" spans="1:6" ht="14.25" customHeight="1" x14ac:dyDescent="0.25">
      <c r="A57" t="s">
        <v>146</v>
      </c>
      <c r="B57" s="1">
        <v>42261</v>
      </c>
      <c r="C57">
        <f t="shared" si="2"/>
        <v>10</v>
      </c>
      <c r="D57">
        <v>110385</v>
      </c>
      <c r="E57">
        <v>339</v>
      </c>
      <c r="F57">
        <f t="shared" si="1"/>
        <v>3.0710694387824432E-3</v>
      </c>
    </row>
    <row r="58" spans="1:6" ht="14.25" customHeight="1" x14ac:dyDescent="0.25">
      <c r="A58" t="s">
        <v>148</v>
      </c>
      <c r="B58" s="1">
        <v>42271</v>
      </c>
      <c r="C58">
        <f t="shared" si="2"/>
        <v>14</v>
      </c>
      <c r="D58">
        <v>110393</v>
      </c>
      <c r="E58">
        <v>4</v>
      </c>
      <c r="F58">
        <f t="shared" si="1"/>
        <v>3.6234181515132303E-5</v>
      </c>
    </row>
    <row r="59" spans="1:6" ht="14.25" customHeight="1" x14ac:dyDescent="0.25">
      <c r="A59" t="s">
        <v>151</v>
      </c>
      <c r="B59" s="1">
        <v>42285</v>
      </c>
      <c r="C59">
        <f t="shared" si="2"/>
        <v>11</v>
      </c>
      <c r="D59">
        <v>110720</v>
      </c>
      <c r="E59">
        <v>185</v>
      </c>
      <c r="F59">
        <f t="shared" si="1"/>
        <v>1.6708815028901734E-3</v>
      </c>
    </row>
    <row r="60" spans="1:6" ht="14.25" customHeight="1" x14ac:dyDescent="0.25">
      <c r="A60" t="s">
        <v>152</v>
      </c>
      <c r="B60" s="1">
        <v>42296</v>
      </c>
      <c r="C60">
        <f t="shared" si="2"/>
        <v>8</v>
      </c>
      <c r="D60">
        <v>110811</v>
      </c>
      <c r="E60">
        <v>83</v>
      </c>
      <c r="F60">
        <f t="shared" si="1"/>
        <v>7.4902311142395614E-4</v>
      </c>
    </row>
    <row r="61" spans="1:6" ht="14.25" customHeight="1" x14ac:dyDescent="0.25">
      <c r="A61" t="s">
        <v>153</v>
      </c>
      <c r="B61" s="1">
        <v>42304</v>
      </c>
      <c r="C61">
        <f t="shared" si="2"/>
        <v>3</v>
      </c>
      <c r="D61">
        <v>110869</v>
      </c>
      <c r="E61">
        <v>59</v>
      </c>
      <c r="F61">
        <f t="shared" si="1"/>
        <v>5.3215957571548401E-4</v>
      </c>
    </row>
    <row r="62" spans="1:6" ht="14.25" customHeight="1" x14ac:dyDescent="0.25">
      <c r="A62" t="s">
        <v>154</v>
      </c>
      <c r="B62" s="1">
        <v>42307</v>
      </c>
      <c r="C62">
        <f t="shared" si="2"/>
        <v>5</v>
      </c>
      <c r="D62">
        <v>111187</v>
      </c>
      <c r="E62">
        <v>5</v>
      </c>
      <c r="F62">
        <f t="shared" si="1"/>
        <v>4.4969285977677245E-5</v>
      </c>
    </row>
    <row r="63" spans="1:6" ht="14.25" customHeight="1" x14ac:dyDescent="0.25">
      <c r="A63" t="s">
        <v>155</v>
      </c>
      <c r="B63" s="1">
        <v>42312</v>
      </c>
      <c r="C63">
        <f t="shared" si="2"/>
        <v>7</v>
      </c>
      <c r="D63">
        <v>111499</v>
      </c>
      <c r="E63">
        <v>86</v>
      </c>
      <c r="F63">
        <f t="shared" si="1"/>
        <v>7.7130736598534516E-4</v>
      </c>
    </row>
    <row r="64" spans="1:6" ht="14.25" customHeight="1" x14ac:dyDescent="0.25">
      <c r="A64" t="s">
        <v>156</v>
      </c>
      <c r="B64" s="1">
        <v>42319</v>
      </c>
      <c r="C64">
        <f t="shared" si="2"/>
        <v>14</v>
      </c>
      <c r="D64">
        <v>111520</v>
      </c>
      <c r="E64">
        <v>36</v>
      </c>
      <c r="F64">
        <f t="shared" si="1"/>
        <v>3.2281205164992827E-4</v>
      </c>
    </row>
    <row r="65" spans="1:6" ht="14.25" customHeight="1" x14ac:dyDescent="0.25">
      <c r="A65" t="s">
        <v>157</v>
      </c>
      <c r="B65" s="1">
        <v>42333</v>
      </c>
      <c r="C65">
        <f t="shared" si="2"/>
        <v>13</v>
      </c>
      <c r="D65">
        <v>111654</v>
      </c>
      <c r="E65">
        <v>87</v>
      </c>
      <c r="F65">
        <f t="shared" si="1"/>
        <v>7.7919286366811755E-4</v>
      </c>
    </row>
    <row r="66" spans="1:6" ht="14.25" customHeight="1" x14ac:dyDescent="0.25">
      <c r="A66" t="s">
        <v>158</v>
      </c>
      <c r="B66" s="1">
        <v>42346</v>
      </c>
      <c r="C66">
        <f t="shared" si="2"/>
        <v>7</v>
      </c>
      <c r="D66">
        <v>111725</v>
      </c>
      <c r="E66">
        <v>46</v>
      </c>
      <c r="F66">
        <f t="shared" si="1"/>
        <v>4.117252181696129E-4</v>
      </c>
    </row>
    <row r="67" spans="1:6" ht="14.25" customHeight="1" x14ac:dyDescent="0.25">
      <c r="A67" t="s">
        <v>159</v>
      </c>
      <c r="B67" s="1">
        <v>42353</v>
      </c>
      <c r="C67">
        <f t="shared" si="2"/>
        <v>20</v>
      </c>
      <c r="D67">
        <v>113335</v>
      </c>
      <c r="E67">
        <v>544</v>
      </c>
      <c r="F67">
        <f t="shared" si="1"/>
        <v>4.7999294128027526E-3</v>
      </c>
    </row>
    <row r="68" spans="1:6" ht="14.25" customHeight="1" x14ac:dyDescent="0.25">
      <c r="A68" t="s">
        <v>160</v>
      </c>
      <c r="B68" s="1">
        <v>42373</v>
      </c>
      <c r="C68">
        <f t="shared" si="2"/>
        <v>2</v>
      </c>
      <c r="D68">
        <v>113713</v>
      </c>
      <c r="E68">
        <v>92</v>
      </c>
      <c r="F68">
        <f t="shared" si="1"/>
        <v>8.0905437373035626E-4</v>
      </c>
    </row>
    <row r="69" spans="1:6" ht="14.25" customHeight="1" x14ac:dyDescent="0.25">
      <c r="A69" t="s">
        <v>161</v>
      </c>
      <c r="B69" s="1">
        <v>42375</v>
      </c>
      <c r="C69">
        <f t="shared" si="2"/>
        <v>0</v>
      </c>
      <c r="D69">
        <v>113716</v>
      </c>
      <c r="E69">
        <v>74</v>
      </c>
      <c r="F69">
        <f t="shared" si="1"/>
        <v>6.5074395863378939E-4</v>
      </c>
    </row>
    <row r="70" spans="1:6" ht="14.25" customHeight="1" x14ac:dyDescent="0.25">
      <c r="A70" t="s">
        <v>162</v>
      </c>
      <c r="B70" s="1">
        <v>42375</v>
      </c>
      <c r="C70">
        <f t="shared" ref="C70:C85" si="3">DATEDIF(B70,B71,"d")</f>
        <v>2</v>
      </c>
      <c r="D70">
        <v>113693</v>
      </c>
      <c r="E70">
        <v>136</v>
      </c>
      <c r="F70">
        <f t="shared" si="1"/>
        <v>1.1962038120200893E-3</v>
      </c>
    </row>
    <row r="71" spans="1:6" ht="14.25" customHeight="1" x14ac:dyDescent="0.25">
      <c r="A71" t="s">
        <v>163</v>
      </c>
      <c r="B71" s="1">
        <v>42377</v>
      </c>
      <c r="C71">
        <f t="shared" si="3"/>
        <v>4</v>
      </c>
      <c r="D71">
        <v>113705</v>
      </c>
      <c r="E71">
        <v>8</v>
      </c>
      <c r="F71">
        <f t="shared" si="1"/>
        <v>7.0357504067543203E-5</v>
      </c>
    </row>
    <row r="72" spans="1:6" ht="14.25" customHeight="1" x14ac:dyDescent="0.25">
      <c r="A72" t="s">
        <v>164</v>
      </c>
      <c r="B72" s="1">
        <v>42381</v>
      </c>
      <c r="C72">
        <f t="shared" si="3"/>
        <v>27</v>
      </c>
      <c r="D72">
        <v>113705</v>
      </c>
      <c r="E72">
        <v>0</v>
      </c>
      <c r="F72">
        <f t="shared" ref="F72:F85" si="4">E72/D72</f>
        <v>0</v>
      </c>
    </row>
    <row r="73" spans="1:6" ht="14.25" customHeight="1" x14ac:dyDescent="0.25">
      <c r="A73" t="s">
        <v>165</v>
      </c>
      <c r="B73" s="1">
        <v>42408</v>
      </c>
      <c r="C73">
        <f t="shared" si="3"/>
        <v>50</v>
      </c>
      <c r="D73">
        <v>113705</v>
      </c>
      <c r="E73">
        <v>0</v>
      </c>
      <c r="F73">
        <f t="shared" si="4"/>
        <v>0</v>
      </c>
    </row>
    <row r="74" spans="1:6" ht="14.25" customHeight="1" x14ac:dyDescent="0.25">
      <c r="A74" t="s">
        <v>166</v>
      </c>
      <c r="B74" s="1">
        <v>42458</v>
      </c>
      <c r="C74">
        <f t="shared" si="3"/>
        <v>20</v>
      </c>
      <c r="D74">
        <v>113839</v>
      </c>
      <c r="E74">
        <v>57</v>
      </c>
      <c r="F74">
        <f t="shared" si="4"/>
        <v>5.0070713902968227E-4</v>
      </c>
    </row>
    <row r="75" spans="1:6" ht="14.25" customHeight="1" x14ac:dyDescent="0.25">
      <c r="A75" t="s">
        <v>167</v>
      </c>
      <c r="B75" s="1">
        <v>42478</v>
      </c>
      <c r="C75">
        <f t="shared" si="3"/>
        <v>35</v>
      </c>
      <c r="D75">
        <v>113852</v>
      </c>
      <c r="E75">
        <v>20</v>
      </c>
      <c r="F75">
        <f t="shared" si="4"/>
        <v>1.7566665495555634E-4</v>
      </c>
    </row>
    <row r="76" spans="1:6" ht="14.25" customHeight="1" x14ac:dyDescent="0.25">
      <c r="A76" t="s">
        <v>168</v>
      </c>
      <c r="B76" s="1">
        <v>42513</v>
      </c>
      <c r="C76">
        <f t="shared" si="3"/>
        <v>9</v>
      </c>
      <c r="D76">
        <v>114196</v>
      </c>
      <c r="E76">
        <v>250</v>
      </c>
      <c r="F76">
        <f t="shared" si="4"/>
        <v>2.1892185365511925E-3</v>
      </c>
    </row>
    <row r="77" spans="1:6" ht="14.25" customHeight="1" x14ac:dyDescent="0.25">
      <c r="A77" t="s">
        <v>169</v>
      </c>
      <c r="B77" s="1">
        <v>42522</v>
      </c>
      <c r="C77">
        <f t="shared" si="3"/>
        <v>27</v>
      </c>
      <c r="D77">
        <v>114270</v>
      </c>
      <c r="E77">
        <v>48</v>
      </c>
      <c r="F77">
        <f t="shared" si="4"/>
        <v>4.2005775794171698E-4</v>
      </c>
    </row>
    <row r="78" spans="1:6" ht="14.25" customHeight="1" x14ac:dyDescent="0.25">
      <c r="A78" t="s">
        <v>170</v>
      </c>
      <c r="B78" s="1">
        <v>42549</v>
      </c>
      <c r="C78">
        <f t="shared" si="3"/>
        <v>27</v>
      </c>
      <c r="D78">
        <v>114630</v>
      </c>
      <c r="E78">
        <v>164</v>
      </c>
      <c r="F78">
        <f t="shared" si="4"/>
        <v>1.430690046235715E-3</v>
      </c>
    </row>
    <row r="79" spans="1:6" ht="14.25" customHeight="1" x14ac:dyDescent="0.25">
      <c r="A79" t="s">
        <v>171</v>
      </c>
      <c r="B79" s="1">
        <v>42576</v>
      </c>
      <c r="C79">
        <f t="shared" si="3"/>
        <v>3</v>
      </c>
      <c r="D79">
        <v>115154</v>
      </c>
      <c r="E79">
        <v>192</v>
      </c>
      <c r="F79">
        <f t="shared" si="4"/>
        <v>1.6673324417736249E-3</v>
      </c>
    </row>
    <row r="80" spans="1:6" ht="14.25" customHeight="1" x14ac:dyDescent="0.25">
      <c r="A80" t="s">
        <v>172</v>
      </c>
      <c r="B80" s="1">
        <v>42579</v>
      </c>
      <c r="C80">
        <f t="shared" si="3"/>
        <v>13</v>
      </c>
      <c r="D80">
        <v>115160</v>
      </c>
      <c r="E80">
        <v>4</v>
      </c>
      <c r="F80">
        <f t="shared" si="4"/>
        <v>3.4734282737061482E-5</v>
      </c>
    </row>
    <row r="81" spans="1:6" ht="14.25" customHeight="1" x14ac:dyDescent="0.25">
      <c r="A81" t="s">
        <v>173</v>
      </c>
      <c r="B81" s="1">
        <v>42592</v>
      </c>
      <c r="C81">
        <f t="shared" si="3"/>
        <v>0</v>
      </c>
      <c r="D81">
        <v>115161</v>
      </c>
      <c r="E81">
        <v>2</v>
      </c>
      <c r="F81">
        <f t="shared" si="4"/>
        <v>1.7366990561040629E-5</v>
      </c>
    </row>
    <row r="82" spans="1:6" ht="14.25" customHeight="1" x14ac:dyDescent="0.25">
      <c r="A82" t="s">
        <v>174</v>
      </c>
      <c r="B82" s="1">
        <v>42592</v>
      </c>
      <c r="C82">
        <f t="shared" si="3"/>
        <v>92</v>
      </c>
      <c r="D82">
        <v>115183</v>
      </c>
      <c r="E82">
        <v>40</v>
      </c>
      <c r="F82">
        <f t="shared" si="4"/>
        <v>3.4727346917513867E-4</v>
      </c>
    </row>
    <row r="83" spans="1:6" ht="14.25" customHeight="1" x14ac:dyDescent="0.25">
      <c r="A83" t="s">
        <v>175</v>
      </c>
      <c r="B83" s="1">
        <v>42684</v>
      </c>
      <c r="C83">
        <f t="shared" si="3"/>
        <v>253</v>
      </c>
      <c r="D83">
        <v>115264</v>
      </c>
      <c r="E83">
        <v>378</v>
      </c>
      <c r="F83">
        <f t="shared" si="4"/>
        <v>3.2794280955024987E-3</v>
      </c>
    </row>
    <row r="84" spans="1:6" ht="14.25" customHeight="1" x14ac:dyDescent="0.25">
      <c r="A84" t="s">
        <v>176</v>
      </c>
      <c r="B84" s="1">
        <v>42937</v>
      </c>
      <c r="C84">
        <f t="shared" si="3"/>
        <v>6</v>
      </c>
      <c r="D84">
        <v>115279</v>
      </c>
      <c r="E84">
        <v>20</v>
      </c>
      <c r="F84">
        <f t="shared" si="4"/>
        <v>1.7349213646891454E-4</v>
      </c>
    </row>
    <row r="85" spans="1:6" ht="14.25" customHeight="1" x14ac:dyDescent="0.25">
      <c r="A85" t="s">
        <v>177</v>
      </c>
      <c r="B85" s="1">
        <v>42943</v>
      </c>
      <c r="C85">
        <f t="shared" si="3"/>
        <v>34</v>
      </c>
      <c r="D85">
        <v>115279</v>
      </c>
      <c r="E85">
        <v>0</v>
      </c>
      <c r="F85">
        <f t="shared" si="4"/>
        <v>0</v>
      </c>
    </row>
    <row r="86" spans="1:6" ht="14.25" customHeight="1" x14ac:dyDescent="0.25">
      <c r="A86" t="s">
        <v>178</v>
      </c>
      <c r="B86" s="1">
        <v>42977</v>
      </c>
      <c r="D86">
        <v>115310</v>
      </c>
      <c r="E86">
        <v>28</v>
      </c>
    </row>
    <row r="87" spans="1:6" ht="14.25" customHeight="1" x14ac:dyDescent="0.25">
      <c r="D87">
        <f>SUM(D7:D86)</f>
        <v>8273557</v>
      </c>
    </row>
    <row r="88" spans="1:6" ht="14.25" customHeight="1" x14ac:dyDescent="0.25"/>
    <row r="89" spans="1:6" ht="14.25" customHeight="1" x14ac:dyDescent="0.25"/>
    <row r="90" spans="1:6" ht="14.25" customHeight="1" x14ac:dyDescent="0.25"/>
    <row r="91" spans="1:6" ht="14.25" customHeight="1" x14ac:dyDescent="0.25"/>
    <row r="92" spans="1:6" ht="14.25" customHeight="1" x14ac:dyDescent="0.25"/>
    <row r="93" spans="1:6" ht="14.25" customHeight="1" x14ac:dyDescent="0.25"/>
    <row r="94" spans="1:6" ht="14.25" customHeight="1" x14ac:dyDescent="0.25"/>
    <row r="95" spans="1:6" ht="14.25" customHeight="1" x14ac:dyDescent="0.25"/>
    <row r="96" spans="1: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6"/>
  <sheetViews>
    <sheetView topLeftCell="A36" workbookViewId="0">
      <selection activeCell="D40" sqref="D40"/>
    </sheetView>
  </sheetViews>
  <sheetFormatPr defaultColWidth="14.42578125" defaultRowHeight="15" customHeight="1" x14ac:dyDescent="0.25"/>
  <cols>
    <col min="1" max="1" width="8.7109375" customWidth="1"/>
    <col min="2" max="2" width="15.42578125" customWidth="1"/>
    <col min="3" max="3" width="6.42578125" customWidth="1"/>
    <col min="4" max="4" width="13" customWidth="1"/>
    <col min="5" max="5" width="6.7109375" customWidth="1"/>
    <col min="6" max="22" width="8.7109375" customWidth="1"/>
  </cols>
  <sheetData>
    <row r="1" spans="1:6" ht="14.25" customHeight="1" x14ac:dyDescent="0.25">
      <c r="A1" s="5"/>
      <c r="B1" s="6"/>
      <c r="C1" s="5" t="s">
        <v>0</v>
      </c>
      <c r="D1" s="5" t="s">
        <v>210</v>
      </c>
      <c r="E1" s="5" t="s">
        <v>440</v>
      </c>
      <c r="F1" s="5" t="s">
        <v>441</v>
      </c>
    </row>
    <row r="2" spans="1:6" ht="14.25" customHeight="1" x14ac:dyDescent="0.25">
      <c r="A2" s="5"/>
      <c r="B2" s="6" t="s">
        <v>1</v>
      </c>
      <c r="C2" s="5">
        <f>AVERAGE(C6:C38)</f>
        <v>177.03333333333333</v>
      </c>
      <c r="D2" s="5">
        <f>AVERAGE(D6:D39)</f>
        <v>49683.382352941175</v>
      </c>
      <c r="E2" s="5">
        <f>AVERAGE(E7:E39)</f>
        <v>521.33333333333337</v>
      </c>
      <c r="F2" s="5">
        <f>AVERAGE(F6:F39)</f>
        <v>1.0083603071739212E-2</v>
      </c>
    </row>
    <row r="3" spans="1:6" ht="14.25" customHeight="1" x14ac:dyDescent="0.25">
      <c r="A3" s="5"/>
      <c r="B3" s="6" t="s">
        <v>2</v>
      </c>
      <c r="C3" s="5">
        <f>MEDIAN(C6:C38)</f>
        <v>154</v>
      </c>
      <c r="D3" s="5">
        <f>MEDIAN(D6:D39)</f>
        <v>49775</v>
      </c>
      <c r="E3" s="5">
        <f>MEDIAN(E7:E39)</f>
        <v>254</v>
      </c>
      <c r="F3" s="5">
        <f>MEDIAN(F6:F39)</f>
        <v>5.3238342824201926E-3</v>
      </c>
    </row>
    <row r="4" spans="1:6" ht="14.25" customHeight="1" x14ac:dyDescent="0.25">
      <c r="A4" s="5"/>
      <c r="B4" s="6" t="s">
        <v>3</v>
      </c>
      <c r="C4" s="5">
        <f>STDEV(C6:C38)</f>
        <v>150.00195017889357</v>
      </c>
      <c r="D4" s="5">
        <f>STDEV(D6:D39)</f>
        <v>14771.476256243661</v>
      </c>
      <c r="E4" s="5">
        <f>STDEV(E7:E39)</f>
        <v>627.20542382712301</v>
      </c>
      <c r="F4" s="5">
        <f>STDEV(F6:F39)</f>
        <v>1.3277267134328604E-2</v>
      </c>
    </row>
    <row r="5" spans="1:6" ht="14.25" customHeight="1" x14ac:dyDescent="0.25">
      <c r="A5" s="5" t="s">
        <v>4</v>
      </c>
      <c r="B5" s="6" t="s">
        <v>5</v>
      </c>
      <c r="C5" s="5"/>
      <c r="D5" s="5"/>
      <c r="E5" s="5"/>
      <c r="F5" s="5"/>
    </row>
    <row r="6" spans="1:6" ht="14.25" customHeight="1" x14ac:dyDescent="0.25">
      <c r="A6" s="5" t="s">
        <v>10</v>
      </c>
      <c r="B6" s="6">
        <v>39748</v>
      </c>
      <c r="C6" s="5">
        <f>DATEDIF(B6,B7,"d")</f>
        <v>8</v>
      </c>
      <c r="D6" s="5">
        <v>21566</v>
      </c>
      <c r="E6" s="5"/>
      <c r="F6" s="5"/>
    </row>
    <row r="7" spans="1:6" ht="14.25" customHeight="1" x14ac:dyDescent="0.25">
      <c r="A7" s="5" t="s">
        <v>15</v>
      </c>
      <c r="B7" s="6">
        <v>39756</v>
      </c>
      <c r="C7" s="5">
        <f>DATEDIF(B7,B8,"d")</f>
        <v>101</v>
      </c>
      <c r="D7" s="5">
        <v>21796</v>
      </c>
      <c r="E7" s="5">
        <v>120</v>
      </c>
      <c r="F7" s="5">
        <f>E7/D7</f>
        <v>5.5055973573132685E-3</v>
      </c>
    </row>
    <row r="8" spans="1:6" ht="14.25" customHeight="1" x14ac:dyDescent="0.25">
      <c r="A8" s="5" t="s">
        <v>17</v>
      </c>
      <c r="B8" s="6">
        <v>39857</v>
      </c>
      <c r="C8" s="5">
        <f>DATEDIF(B8,B9,"d")</f>
        <v>42</v>
      </c>
      <c r="D8" s="5">
        <v>28419</v>
      </c>
      <c r="E8" s="5">
        <v>1331</v>
      </c>
      <c r="F8" s="5">
        <f t="shared" ref="F8:F39" si="0">E8/D8</f>
        <v>4.6834863999436996E-2</v>
      </c>
    </row>
    <row r="9" spans="1:6" ht="14.25" customHeight="1" x14ac:dyDescent="0.25">
      <c r="A9" s="5" t="s">
        <v>22</v>
      </c>
      <c r="B9" s="6">
        <v>39899</v>
      </c>
      <c r="C9" s="5">
        <f>DATEDIF(B9,B10,"d")</f>
        <v>232</v>
      </c>
      <c r="D9" s="5">
        <v>28435</v>
      </c>
      <c r="E9" s="5">
        <v>34</v>
      </c>
      <c r="F9" s="5">
        <f t="shared" si="0"/>
        <v>1.1957095129242132E-3</v>
      </c>
    </row>
    <row r="10" spans="1:6" ht="14.25" customHeight="1" x14ac:dyDescent="0.25">
      <c r="A10" s="5" t="s">
        <v>24</v>
      </c>
      <c r="B10" s="6">
        <v>40131</v>
      </c>
      <c r="C10" s="5"/>
      <c r="D10" s="5">
        <v>28644</v>
      </c>
      <c r="E10" s="5">
        <v>23</v>
      </c>
      <c r="F10" s="5">
        <f t="shared" si="0"/>
        <v>8.0296048037983522E-4</v>
      </c>
    </row>
    <row r="11" spans="1:6" ht="14.25" customHeight="1" x14ac:dyDescent="0.25">
      <c r="A11" s="5" t="s">
        <v>27</v>
      </c>
      <c r="B11" s="6">
        <v>40002</v>
      </c>
      <c r="C11" s="5">
        <f t="shared" ref="C11:C19" si="1">DATEDIF(B11,B12,"d")</f>
        <v>58</v>
      </c>
      <c r="D11" s="5">
        <v>35044</v>
      </c>
      <c r="E11" s="5"/>
      <c r="F11" s="5"/>
    </row>
    <row r="12" spans="1:6" ht="14.25" customHeight="1" x14ac:dyDescent="0.25">
      <c r="A12" s="5" t="s">
        <v>29</v>
      </c>
      <c r="B12" s="6">
        <v>40060</v>
      </c>
      <c r="C12" s="5">
        <f t="shared" si="1"/>
        <v>0</v>
      </c>
      <c r="D12" s="5">
        <v>35740</v>
      </c>
      <c r="E12" s="5">
        <v>328</v>
      </c>
      <c r="F12" s="5">
        <f t="shared" si="0"/>
        <v>9.1773922775601566E-3</v>
      </c>
    </row>
    <row r="13" spans="1:6" ht="14.25" customHeight="1" x14ac:dyDescent="0.25">
      <c r="A13" s="5" t="s">
        <v>32</v>
      </c>
      <c r="B13" s="6">
        <v>40060</v>
      </c>
      <c r="C13" s="5">
        <f t="shared" si="1"/>
        <v>202</v>
      </c>
      <c r="D13" s="5">
        <v>36016</v>
      </c>
      <c r="E13" s="5">
        <v>44</v>
      </c>
      <c r="F13" s="5">
        <f t="shared" si="0"/>
        <v>1.2216792536650378E-3</v>
      </c>
    </row>
    <row r="14" spans="1:6" ht="14.25" customHeight="1" x14ac:dyDescent="0.25">
      <c r="A14" s="5" t="s">
        <v>35</v>
      </c>
      <c r="B14" s="6">
        <v>40262</v>
      </c>
      <c r="C14" s="5">
        <f t="shared" si="1"/>
        <v>53</v>
      </c>
      <c r="D14" s="5">
        <v>42747</v>
      </c>
      <c r="E14" s="5">
        <v>2445</v>
      </c>
      <c r="F14" s="5">
        <f t="shared" si="0"/>
        <v>5.7196996280440733E-2</v>
      </c>
    </row>
    <row r="15" spans="1:6" ht="14.25" customHeight="1" x14ac:dyDescent="0.25">
      <c r="A15" s="5" t="s">
        <v>40</v>
      </c>
      <c r="B15" s="6">
        <v>40315</v>
      </c>
      <c r="C15" s="5">
        <f t="shared" si="1"/>
        <v>178</v>
      </c>
      <c r="D15" s="5">
        <v>42940</v>
      </c>
      <c r="E15" s="5">
        <v>166</v>
      </c>
      <c r="F15" s="5">
        <f t="shared" si="0"/>
        <v>3.8658593386120166E-3</v>
      </c>
    </row>
    <row r="16" spans="1:6" ht="14.25" customHeight="1" x14ac:dyDescent="0.25">
      <c r="A16" s="5" t="s">
        <v>43</v>
      </c>
      <c r="B16" s="6">
        <v>40493</v>
      </c>
      <c r="C16" s="5">
        <f t="shared" si="1"/>
        <v>108</v>
      </c>
      <c r="D16" s="5">
        <v>43542</v>
      </c>
      <c r="E16" s="5">
        <v>170</v>
      </c>
      <c r="F16" s="5">
        <f t="shared" si="0"/>
        <v>3.9042763308989024E-3</v>
      </c>
    </row>
    <row r="17" spans="1:6" ht="14.25" customHeight="1" x14ac:dyDescent="0.25">
      <c r="A17" s="5" t="s">
        <v>47</v>
      </c>
      <c r="B17" s="6">
        <v>40601</v>
      </c>
      <c r="C17" s="5">
        <f t="shared" si="1"/>
        <v>272</v>
      </c>
      <c r="D17" s="5">
        <v>44736</v>
      </c>
      <c r="E17" s="5">
        <v>135</v>
      </c>
      <c r="F17" s="5">
        <f t="shared" si="0"/>
        <v>3.017703862660944E-3</v>
      </c>
    </row>
    <row r="18" spans="1:6" ht="14.25" customHeight="1" x14ac:dyDescent="0.25">
      <c r="A18" s="5" t="s">
        <v>50</v>
      </c>
      <c r="B18" s="6">
        <v>40873</v>
      </c>
      <c r="C18" s="5">
        <f t="shared" si="1"/>
        <v>115</v>
      </c>
      <c r="D18" s="5">
        <v>45416</v>
      </c>
      <c r="E18" s="5">
        <v>282</v>
      </c>
      <c r="F18" s="5">
        <f t="shared" si="0"/>
        <v>6.2092654571076272E-3</v>
      </c>
    </row>
    <row r="19" spans="1:6" ht="14.25" customHeight="1" x14ac:dyDescent="0.25">
      <c r="A19" s="5" t="s">
        <v>53</v>
      </c>
      <c r="B19" s="6">
        <v>40988</v>
      </c>
      <c r="C19" s="5">
        <f t="shared" si="1"/>
        <v>135</v>
      </c>
      <c r="D19" s="5">
        <v>45834</v>
      </c>
      <c r="E19" s="5">
        <v>126</v>
      </c>
      <c r="F19" s="5">
        <f t="shared" si="0"/>
        <v>2.7490509228956669E-3</v>
      </c>
    </row>
    <row r="20" spans="1:6" ht="14.25" customHeight="1" x14ac:dyDescent="0.25">
      <c r="A20" s="5" t="s">
        <v>57</v>
      </c>
      <c r="B20" s="6">
        <v>41123</v>
      </c>
      <c r="C20" s="5"/>
      <c r="D20" s="5">
        <v>46402</v>
      </c>
      <c r="E20" s="5">
        <v>85</v>
      </c>
      <c r="F20" s="5">
        <f t="shared" si="0"/>
        <v>1.8318175940692212E-3</v>
      </c>
    </row>
    <row r="21" spans="1:6" ht="14.25" customHeight="1" x14ac:dyDescent="0.25">
      <c r="A21" s="5" t="s">
        <v>58</v>
      </c>
      <c r="B21" s="6">
        <v>40869</v>
      </c>
      <c r="C21" s="5">
        <f t="shared" ref="C21:C33" si="2">DATEDIF(B21,B22,"d")</f>
        <v>24</v>
      </c>
      <c r="D21" s="5">
        <v>49635</v>
      </c>
      <c r="E21" s="5"/>
      <c r="F21" s="5"/>
    </row>
    <row r="22" spans="1:6" ht="14.25" customHeight="1" x14ac:dyDescent="0.25">
      <c r="A22" s="5" t="s">
        <v>66</v>
      </c>
      <c r="B22" s="6">
        <v>40893</v>
      </c>
      <c r="C22" s="5">
        <f t="shared" si="2"/>
        <v>13</v>
      </c>
      <c r="D22" s="5">
        <v>49752</v>
      </c>
      <c r="E22" s="5">
        <v>35</v>
      </c>
      <c r="F22" s="5">
        <f t="shared" si="0"/>
        <v>7.0348930696253413E-4</v>
      </c>
    </row>
    <row r="23" spans="1:6" ht="14.25" customHeight="1" x14ac:dyDescent="0.25">
      <c r="A23" s="5" t="s">
        <v>70</v>
      </c>
      <c r="B23" s="6">
        <v>40906</v>
      </c>
      <c r="C23" s="5">
        <f t="shared" si="2"/>
        <v>46</v>
      </c>
      <c r="D23" s="5">
        <v>49798</v>
      </c>
      <c r="E23" s="5">
        <v>41</v>
      </c>
      <c r="F23" s="5">
        <f t="shared" si="0"/>
        <v>8.2332623800152613E-4</v>
      </c>
    </row>
    <row r="24" spans="1:6" ht="14.25" customHeight="1" x14ac:dyDescent="0.25">
      <c r="A24" s="5" t="s">
        <v>73</v>
      </c>
      <c r="B24" s="6">
        <v>40952</v>
      </c>
      <c r="C24" s="5">
        <f t="shared" si="2"/>
        <v>223</v>
      </c>
      <c r="D24" s="5">
        <v>50355</v>
      </c>
      <c r="E24" s="5">
        <v>293</v>
      </c>
      <c r="F24" s="5">
        <f t="shared" si="0"/>
        <v>5.8186873200278023E-3</v>
      </c>
    </row>
    <row r="25" spans="1:6" ht="14.25" customHeight="1" x14ac:dyDescent="0.25">
      <c r="A25" s="5" t="s">
        <v>75</v>
      </c>
      <c r="B25" s="6">
        <v>41175</v>
      </c>
      <c r="C25" s="5">
        <f t="shared" si="2"/>
        <v>56</v>
      </c>
      <c r="D25" s="5">
        <v>52447</v>
      </c>
      <c r="E25" s="5">
        <v>571</v>
      </c>
      <c r="F25" s="5">
        <f t="shared" si="0"/>
        <v>1.0887181344976835E-2</v>
      </c>
    </row>
    <row r="26" spans="1:6" ht="14.25" customHeight="1" x14ac:dyDescent="0.25">
      <c r="A26" s="5" t="s">
        <v>78</v>
      </c>
      <c r="B26" s="6">
        <v>41231</v>
      </c>
      <c r="C26" s="5">
        <f t="shared" si="2"/>
        <v>477</v>
      </c>
      <c r="D26" s="5">
        <v>52479</v>
      </c>
      <c r="E26" s="5">
        <v>47</v>
      </c>
      <c r="F26" s="5">
        <f t="shared" si="0"/>
        <v>8.9559633377160391E-4</v>
      </c>
    </row>
    <row r="27" spans="1:6" ht="14.25" customHeight="1" x14ac:dyDescent="0.25">
      <c r="A27" s="5" t="s">
        <v>83</v>
      </c>
      <c r="B27" s="6">
        <v>41708</v>
      </c>
      <c r="C27" s="5">
        <f t="shared" si="2"/>
        <v>621</v>
      </c>
      <c r="D27" s="5">
        <v>55270</v>
      </c>
      <c r="E27" s="5">
        <v>843</v>
      </c>
      <c r="F27" s="5">
        <f t="shared" si="0"/>
        <v>1.5252397322236294E-2</v>
      </c>
    </row>
    <row r="28" spans="1:6" ht="14.25" customHeight="1" x14ac:dyDescent="0.25">
      <c r="A28" s="5" t="s">
        <v>209</v>
      </c>
      <c r="B28" s="6">
        <v>42329</v>
      </c>
      <c r="C28" s="5">
        <f t="shared" si="2"/>
        <v>91</v>
      </c>
      <c r="D28" s="5">
        <v>56649</v>
      </c>
      <c r="E28" s="5">
        <v>718</v>
      </c>
      <c r="F28" s="5">
        <f t="shared" si="0"/>
        <v>1.2674539709438826E-2</v>
      </c>
    </row>
    <row r="29" spans="1:6" ht="14.25" customHeight="1" x14ac:dyDescent="0.25">
      <c r="A29" s="5" t="s">
        <v>86</v>
      </c>
      <c r="B29" s="6">
        <v>42420</v>
      </c>
      <c r="C29" s="5">
        <f t="shared" si="2"/>
        <v>196</v>
      </c>
      <c r="D29" s="5">
        <v>56888</v>
      </c>
      <c r="E29" s="5">
        <v>50</v>
      </c>
      <c r="F29" s="5">
        <f t="shared" si="0"/>
        <v>8.7891998312473628E-4</v>
      </c>
    </row>
    <row r="30" spans="1:6" ht="14.25" customHeight="1" x14ac:dyDescent="0.25">
      <c r="A30" s="5" t="s">
        <v>89</v>
      </c>
      <c r="B30" s="6">
        <v>42616</v>
      </c>
      <c r="C30" s="5">
        <f t="shared" si="2"/>
        <v>208</v>
      </c>
      <c r="D30" s="5">
        <v>57542</v>
      </c>
      <c r="E30" s="5">
        <v>156</v>
      </c>
      <c r="F30" s="5">
        <f t="shared" si="0"/>
        <v>2.7110632233846581E-3</v>
      </c>
    </row>
    <row r="31" spans="1:6" ht="14.25" customHeight="1" x14ac:dyDescent="0.25">
      <c r="A31" s="5" t="s">
        <v>92</v>
      </c>
      <c r="B31" s="6">
        <v>42824</v>
      </c>
      <c r="C31" s="5">
        <f t="shared" si="2"/>
        <v>224</v>
      </c>
      <c r="D31" s="5">
        <v>61612</v>
      </c>
      <c r="E31" s="5">
        <v>677</v>
      </c>
      <c r="F31" s="5">
        <f t="shared" si="0"/>
        <v>1.0988119197558916E-2</v>
      </c>
    </row>
    <row r="32" spans="1:6" ht="14.25" customHeight="1" x14ac:dyDescent="0.25">
      <c r="A32" s="5" t="s">
        <v>96</v>
      </c>
      <c r="B32" s="6">
        <v>43048</v>
      </c>
      <c r="C32" s="5">
        <f t="shared" si="2"/>
        <v>173</v>
      </c>
      <c r="D32" s="5">
        <v>62194</v>
      </c>
      <c r="E32" s="5">
        <v>677</v>
      </c>
      <c r="F32" s="5">
        <f t="shared" si="0"/>
        <v>1.0885294401389202E-2</v>
      </c>
    </row>
    <row r="33" spans="1:6" ht="14.25" customHeight="1" x14ac:dyDescent="0.25">
      <c r="A33" s="5" t="s">
        <v>98</v>
      </c>
      <c r="B33" s="6">
        <v>43221</v>
      </c>
      <c r="C33" s="5">
        <f t="shared" si="2"/>
        <v>75</v>
      </c>
      <c r="D33" s="5">
        <v>62538</v>
      </c>
      <c r="E33" s="5">
        <v>226</v>
      </c>
      <c r="F33" s="5">
        <f t="shared" si="0"/>
        <v>3.613802807892801E-3</v>
      </c>
    </row>
    <row r="34" spans="1:6" ht="14.25" customHeight="1" x14ac:dyDescent="0.25">
      <c r="A34" s="5" t="s">
        <v>102</v>
      </c>
      <c r="B34" s="6">
        <v>43296</v>
      </c>
      <c r="C34" s="5"/>
      <c r="D34" s="5">
        <v>63982</v>
      </c>
      <c r="E34" s="5">
        <v>329</v>
      </c>
      <c r="F34" s="5">
        <f t="shared" si="0"/>
        <v>5.1420712075271168E-3</v>
      </c>
    </row>
    <row r="35" spans="1:6" ht="14.25" customHeight="1" x14ac:dyDescent="0.25">
      <c r="A35" s="5" t="s">
        <v>107</v>
      </c>
      <c r="B35" s="6">
        <v>41857</v>
      </c>
      <c r="C35" s="5">
        <f>DATEDIF(B35,B36,"d")</f>
        <v>390</v>
      </c>
      <c r="D35" s="5">
        <v>66464</v>
      </c>
      <c r="E35" s="5"/>
      <c r="F35" s="5"/>
    </row>
    <row r="36" spans="1:6" ht="14.25" customHeight="1" x14ac:dyDescent="0.25">
      <c r="A36" s="5" t="s">
        <v>116</v>
      </c>
      <c r="B36" s="6">
        <v>42247</v>
      </c>
      <c r="C36" s="5">
        <f>DATEDIF(B36,B37,"d")</f>
        <v>324</v>
      </c>
      <c r="D36" s="5">
        <v>69906</v>
      </c>
      <c r="E36" s="5">
        <v>1933</v>
      </c>
      <c r="F36" s="5">
        <f t="shared" si="0"/>
        <v>2.7651417617944096E-2</v>
      </c>
    </row>
    <row r="37" spans="1:6" ht="14.25" customHeight="1" x14ac:dyDescent="0.25">
      <c r="A37" s="5" t="s">
        <v>119</v>
      </c>
      <c r="B37" s="6">
        <v>42571</v>
      </c>
      <c r="C37" s="5">
        <f>DATEDIF(B37,B38,"d")</f>
        <v>271</v>
      </c>
      <c r="D37" s="5">
        <v>71586</v>
      </c>
      <c r="E37" s="5">
        <v>839</v>
      </c>
      <c r="F37" s="5">
        <f t="shared" si="0"/>
        <v>1.1720168748079234E-2</v>
      </c>
    </row>
    <row r="38" spans="1:6" ht="14.25" customHeight="1" x14ac:dyDescent="0.25">
      <c r="A38" s="5" t="s">
        <v>121</v>
      </c>
      <c r="B38" s="6">
        <v>42842</v>
      </c>
      <c r="C38" s="5">
        <f>DATEDIF(B38,B39,"d")</f>
        <v>395</v>
      </c>
      <c r="D38" s="5">
        <v>73995</v>
      </c>
      <c r="E38" s="5">
        <v>1647</v>
      </c>
      <c r="F38" s="5">
        <f t="shared" si="0"/>
        <v>2.2258260693290087E-2</v>
      </c>
    </row>
    <row r="39" spans="1:6" ht="14.25" customHeight="1" x14ac:dyDescent="0.25">
      <c r="A39" s="5" t="s">
        <v>124</v>
      </c>
      <c r="B39" s="6">
        <v>43237</v>
      </c>
      <c r="C39" s="5"/>
      <c r="D39" s="5">
        <v>78866</v>
      </c>
      <c r="E39" s="5">
        <v>1269</v>
      </c>
      <c r="F39" s="5">
        <f t="shared" si="0"/>
        <v>1.6090584028605484E-2</v>
      </c>
    </row>
    <row r="40" spans="1:6" ht="14.25" customHeight="1" x14ac:dyDescent="0.25">
      <c r="B40" s="1"/>
      <c r="D40">
        <f>SUM(D6:D39)</f>
        <v>1689235</v>
      </c>
    </row>
    <row r="41" spans="1:6" ht="14.25" customHeight="1" x14ac:dyDescent="0.25">
      <c r="B41" s="1"/>
    </row>
    <row r="42" spans="1:6" ht="14.25" customHeight="1" x14ac:dyDescent="0.25">
      <c r="B42" s="1"/>
    </row>
    <row r="43" spans="1:6" ht="14.25" customHeight="1" x14ac:dyDescent="0.25">
      <c r="B43" s="1"/>
    </row>
    <row r="44" spans="1:6" ht="14.25" customHeight="1" x14ac:dyDescent="0.25">
      <c r="B44" s="1"/>
    </row>
    <row r="45" spans="1:6" ht="14.25" customHeight="1" x14ac:dyDescent="0.25">
      <c r="B45" s="1"/>
    </row>
    <row r="46" spans="1:6" ht="14.25" customHeight="1" x14ac:dyDescent="0.25">
      <c r="B46" s="1"/>
    </row>
    <row r="47" spans="1:6" ht="14.25" customHeight="1" x14ac:dyDescent="0.25">
      <c r="B47" s="1"/>
    </row>
    <row r="48" spans="1:6" ht="14.25" customHeight="1" x14ac:dyDescent="0.25">
      <c r="B48" s="1"/>
    </row>
    <row r="49" spans="2:2" ht="14.25" customHeight="1" x14ac:dyDescent="0.25">
      <c r="B49" s="1"/>
    </row>
    <row r="50" spans="2:2" ht="14.25" customHeight="1" x14ac:dyDescent="0.25">
      <c r="B50" s="1"/>
    </row>
    <row r="51" spans="2:2" ht="14.25" customHeight="1" x14ac:dyDescent="0.25">
      <c r="B51" s="1"/>
    </row>
    <row r="52" spans="2:2" ht="14.25" customHeight="1" x14ac:dyDescent="0.25">
      <c r="B52" s="1"/>
    </row>
    <row r="53" spans="2:2" ht="14.25" customHeight="1" x14ac:dyDescent="0.25">
      <c r="B53" s="1"/>
    </row>
    <row r="54" spans="2:2" ht="14.25" customHeight="1" x14ac:dyDescent="0.25">
      <c r="B54" s="1"/>
    </row>
    <row r="55" spans="2:2" ht="14.25" customHeight="1" x14ac:dyDescent="0.25">
      <c r="B55" s="1"/>
    </row>
    <row r="56" spans="2:2" ht="14.25" customHeight="1" x14ac:dyDescent="0.25">
      <c r="B56" s="1"/>
    </row>
    <row r="57" spans="2:2" ht="14.25" customHeight="1" x14ac:dyDescent="0.25">
      <c r="B57" s="1"/>
    </row>
    <row r="58" spans="2:2" ht="14.25" customHeight="1" x14ac:dyDescent="0.25">
      <c r="B58" s="1"/>
    </row>
    <row r="59" spans="2:2" ht="14.25" customHeight="1" x14ac:dyDescent="0.25">
      <c r="B59" s="1"/>
    </row>
    <row r="60" spans="2:2" ht="14.25" customHeight="1" x14ac:dyDescent="0.25">
      <c r="B60" s="1"/>
    </row>
    <row r="61" spans="2:2" ht="14.25" customHeight="1" x14ac:dyDescent="0.25">
      <c r="B61" s="1"/>
    </row>
    <row r="62" spans="2:2" ht="14.25" customHeight="1" x14ac:dyDescent="0.25">
      <c r="B62" s="1"/>
    </row>
    <row r="63" spans="2:2" ht="14.25" customHeight="1" x14ac:dyDescent="0.25">
      <c r="B63" s="1"/>
    </row>
    <row r="64" spans="2:2" ht="14.25" customHeight="1" x14ac:dyDescent="0.25">
      <c r="B64" s="1"/>
    </row>
    <row r="65" spans="2:2" ht="14.25" customHeight="1" x14ac:dyDescent="0.25">
      <c r="B65" s="1"/>
    </row>
    <row r="66" spans="2:2" ht="14.25" customHeight="1" x14ac:dyDescent="0.25">
      <c r="B66" s="1"/>
    </row>
    <row r="67" spans="2:2" ht="14.25" customHeight="1" x14ac:dyDescent="0.25">
      <c r="B67" s="1"/>
    </row>
    <row r="68" spans="2:2" ht="14.25" customHeight="1" x14ac:dyDescent="0.25">
      <c r="B68" s="1"/>
    </row>
    <row r="69" spans="2:2" ht="14.25" customHeight="1" x14ac:dyDescent="0.25">
      <c r="B69" s="1"/>
    </row>
    <row r="70" spans="2:2" ht="14.25" customHeight="1" x14ac:dyDescent="0.25">
      <c r="B70" s="1"/>
    </row>
    <row r="71" spans="2:2" ht="14.25" customHeight="1" x14ac:dyDescent="0.25">
      <c r="B71" s="1"/>
    </row>
    <row r="72" spans="2:2" ht="14.25" customHeight="1" x14ac:dyDescent="0.25">
      <c r="B72" s="1"/>
    </row>
    <row r="73" spans="2:2" ht="14.25" customHeight="1" x14ac:dyDescent="0.25">
      <c r="B73" s="1"/>
    </row>
    <row r="74" spans="2:2" ht="14.25" customHeight="1" x14ac:dyDescent="0.25">
      <c r="B74" s="1"/>
    </row>
    <row r="75" spans="2:2" ht="14.25" customHeight="1" x14ac:dyDescent="0.25">
      <c r="B75" s="1"/>
    </row>
    <row r="76" spans="2:2" ht="14.25" customHeight="1" x14ac:dyDescent="0.25">
      <c r="B76" s="1"/>
    </row>
    <row r="77" spans="2:2" ht="14.25" customHeight="1" x14ac:dyDescent="0.25">
      <c r="B77" s="1"/>
    </row>
    <row r="78" spans="2:2" ht="14.25" customHeight="1" x14ac:dyDescent="0.25">
      <c r="B78" s="1"/>
    </row>
    <row r="79" spans="2:2" ht="14.25" customHeight="1" x14ac:dyDescent="0.25">
      <c r="B79" s="1"/>
    </row>
    <row r="80" spans="2:2" ht="14.25" customHeight="1" x14ac:dyDescent="0.25">
      <c r="B80" s="1"/>
    </row>
    <row r="81" spans="2:2" ht="14.25" customHeight="1" x14ac:dyDescent="0.25">
      <c r="B81" s="1"/>
    </row>
    <row r="82" spans="2:2" ht="14.25" customHeight="1" x14ac:dyDescent="0.25">
      <c r="B82" s="1"/>
    </row>
    <row r="83" spans="2:2" ht="14.25" customHeight="1" x14ac:dyDescent="0.25">
      <c r="B83" s="1"/>
    </row>
    <row r="84" spans="2:2" ht="14.25" customHeight="1" x14ac:dyDescent="0.25">
      <c r="B84" s="1"/>
    </row>
    <row r="85" spans="2:2" ht="14.25" customHeight="1" x14ac:dyDescent="0.25">
      <c r="B85" s="1"/>
    </row>
    <row r="86" spans="2:2" ht="14.25" customHeight="1" x14ac:dyDescent="0.25">
      <c r="B86" s="1"/>
    </row>
    <row r="87" spans="2:2" ht="14.25" customHeight="1" x14ac:dyDescent="0.25">
      <c r="B87" s="1"/>
    </row>
    <row r="88" spans="2:2" ht="14.25" customHeight="1" x14ac:dyDescent="0.25">
      <c r="B88" s="1"/>
    </row>
    <row r="89" spans="2:2" ht="14.25" customHeight="1" x14ac:dyDescent="0.25">
      <c r="B89" s="1"/>
    </row>
    <row r="90" spans="2:2" ht="14.25" customHeight="1" x14ac:dyDescent="0.25">
      <c r="B90" s="1"/>
    </row>
    <row r="91" spans="2:2" ht="14.25" customHeight="1" x14ac:dyDescent="0.25">
      <c r="B91" s="1"/>
    </row>
    <row r="92" spans="2:2" ht="14.25" customHeight="1" x14ac:dyDescent="0.25">
      <c r="B92" s="1"/>
    </row>
    <row r="93" spans="2:2" ht="14.25" customHeight="1" x14ac:dyDescent="0.25">
      <c r="B93" s="1"/>
    </row>
    <row r="94" spans="2:2" ht="14.25" customHeight="1" x14ac:dyDescent="0.25">
      <c r="B94" s="1"/>
    </row>
    <row r="95" spans="2:2" ht="14.25" customHeight="1" x14ac:dyDescent="0.25">
      <c r="B95" s="1"/>
    </row>
    <row r="96" spans="2:2" ht="14.25" customHeight="1" x14ac:dyDescent="0.25">
      <c r="B96" s="1"/>
    </row>
    <row r="97" spans="2:2" ht="14.25" customHeight="1" x14ac:dyDescent="0.25">
      <c r="B97" s="1"/>
    </row>
    <row r="98" spans="2:2" ht="14.25" customHeight="1" x14ac:dyDescent="0.25">
      <c r="B98" s="1"/>
    </row>
    <row r="99" spans="2:2" ht="14.25" customHeight="1" x14ac:dyDescent="0.25">
      <c r="B99" s="1"/>
    </row>
    <row r="100" spans="2:2" ht="14.25" customHeight="1" x14ac:dyDescent="0.25">
      <c r="B100" s="1"/>
    </row>
    <row r="101" spans="2:2" ht="14.25" customHeight="1" x14ac:dyDescent="0.25">
      <c r="B101" s="1"/>
    </row>
    <row r="102" spans="2:2" ht="14.25" customHeight="1" x14ac:dyDescent="0.25">
      <c r="B102" s="1"/>
    </row>
    <row r="103" spans="2:2" ht="14.25" customHeight="1" x14ac:dyDescent="0.25">
      <c r="B103" s="1"/>
    </row>
    <row r="104" spans="2:2" ht="14.25" customHeight="1" x14ac:dyDescent="0.25">
      <c r="B104" s="1"/>
    </row>
    <row r="105" spans="2:2" ht="14.25" customHeight="1" x14ac:dyDescent="0.25">
      <c r="B105" s="1"/>
    </row>
    <row r="106" spans="2:2" ht="14.25" customHeight="1" x14ac:dyDescent="0.25">
      <c r="B106" s="1"/>
    </row>
    <row r="107" spans="2:2" ht="14.25" customHeight="1" x14ac:dyDescent="0.25">
      <c r="B107" s="1"/>
    </row>
    <row r="108" spans="2:2" ht="14.25" customHeight="1" x14ac:dyDescent="0.25">
      <c r="B108" s="1"/>
    </row>
    <row r="109" spans="2:2" ht="14.25" customHeight="1" x14ac:dyDescent="0.25">
      <c r="B109" s="1"/>
    </row>
    <row r="110" spans="2:2" ht="14.25" customHeight="1" x14ac:dyDescent="0.25">
      <c r="B110" s="1"/>
    </row>
    <row r="111" spans="2:2" ht="14.25" customHeight="1" x14ac:dyDescent="0.25">
      <c r="B111" s="1"/>
    </row>
    <row r="112" spans="2:2" ht="14.25" customHeight="1" x14ac:dyDescent="0.25">
      <c r="B112" s="1"/>
    </row>
    <row r="113" spans="2:2" ht="14.25" customHeight="1" x14ac:dyDescent="0.25">
      <c r="B113" s="1"/>
    </row>
    <row r="114" spans="2:2" ht="14.25" customHeight="1" x14ac:dyDescent="0.25">
      <c r="B114" s="1"/>
    </row>
    <row r="115" spans="2:2" ht="14.25" customHeight="1" x14ac:dyDescent="0.25">
      <c r="B115" s="1"/>
    </row>
    <row r="116" spans="2:2" ht="14.25" customHeight="1" x14ac:dyDescent="0.25">
      <c r="B116" s="1"/>
    </row>
    <row r="117" spans="2:2" ht="14.25" customHeight="1" x14ac:dyDescent="0.25">
      <c r="B117" s="1"/>
    </row>
    <row r="118" spans="2:2" ht="14.25" customHeight="1" x14ac:dyDescent="0.25">
      <c r="B118" s="1"/>
    </row>
    <row r="119" spans="2:2" ht="14.25" customHeight="1" x14ac:dyDescent="0.25">
      <c r="B119" s="1"/>
    </row>
    <row r="120" spans="2:2" ht="14.25" customHeight="1" x14ac:dyDescent="0.25">
      <c r="B120" s="1"/>
    </row>
    <row r="121" spans="2:2" ht="14.25" customHeight="1" x14ac:dyDescent="0.25">
      <c r="B121" s="1"/>
    </row>
    <row r="122" spans="2:2" ht="14.25" customHeight="1" x14ac:dyDescent="0.25">
      <c r="B122" s="1"/>
    </row>
    <row r="123" spans="2:2" ht="14.25" customHeight="1" x14ac:dyDescent="0.25">
      <c r="B123" s="1"/>
    </row>
    <row r="124" spans="2:2" ht="14.25" customHeight="1" x14ac:dyDescent="0.25">
      <c r="B124" s="1"/>
    </row>
    <row r="125" spans="2:2" ht="14.25" customHeight="1" x14ac:dyDescent="0.25">
      <c r="B125" s="1"/>
    </row>
    <row r="126" spans="2:2" ht="14.25" customHeight="1" x14ac:dyDescent="0.25">
      <c r="B126" s="1"/>
    </row>
    <row r="127" spans="2:2" ht="14.25" customHeight="1" x14ac:dyDescent="0.25">
      <c r="B127" s="1"/>
    </row>
    <row r="128" spans="2:2" ht="14.25" customHeight="1" x14ac:dyDescent="0.25">
      <c r="B128" s="1"/>
    </row>
    <row r="129" spans="2:2" ht="14.25" customHeight="1" x14ac:dyDescent="0.25">
      <c r="B129" s="1"/>
    </row>
    <row r="130" spans="2:2" ht="14.25" customHeight="1" x14ac:dyDescent="0.25">
      <c r="B130" s="1"/>
    </row>
    <row r="131" spans="2:2" ht="14.25" customHeight="1" x14ac:dyDescent="0.25">
      <c r="B131" s="1"/>
    </row>
    <row r="132" spans="2:2" ht="14.25" customHeight="1" x14ac:dyDescent="0.25">
      <c r="B132" s="1"/>
    </row>
    <row r="133" spans="2:2" ht="14.25" customHeight="1" x14ac:dyDescent="0.25">
      <c r="B133" s="1"/>
    </row>
    <row r="134" spans="2:2" ht="14.25" customHeight="1" x14ac:dyDescent="0.25">
      <c r="B134" s="1"/>
    </row>
    <row r="135" spans="2:2" ht="14.25" customHeight="1" x14ac:dyDescent="0.25">
      <c r="B135" s="1"/>
    </row>
    <row r="136" spans="2:2" ht="14.25" customHeight="1" x14ac:dyDescent="0.25">
      <c r="B136" s="1"/>
    </row>
    <row r="137" spans="2:2" ht="14.25" customHeight="1" x14ac:dyDescent="0.25">
      <c r="B137" s="1"/>
    </row>
    <row r="138" spans="2:2" ht="14.25" customHeight="1" x14ac:dyDescent="0.25">
      <c r="B138" s="1"/>
    </row>
    <row r="139" spans="2:2" ht="14.25" customHeight="1" x14ac:dyDescent="0.25">
      <c r="B139" s="1"/>
    </row>
    <row r="140" spans="2:2" ht="14.25" customHeight="1" x14ac:dyDescent="0.25">
      <c r="B140" s="1"/>
    </row>
    <row r="141" spans="2:2" ht="14.25" customHeight="1" x14ac:dyDescent="0.25">
      <c r="B141" s="1"/>
    </row>
    <row r="142" spans="2:2" ht="14.25" customHeight="1" x14ac:dyDescent="0.25">
      <c r="B142" s="1"/>
    </row>
    <row r="143" spans="2:2" ht="14.25" customHeight="1" x14ac:dyDescent="0.25">
      <c r="B143" s="1"/>
    </row>
    <row r="144" spans="2:2" ht="14.25" customHeight="1" x14ac:dyDescent="0.25">
      <c r="B144" s="1"/>
    </row>
    <row r="145" spans="2:2" ht="14.25" customHeight="1" x14ac:dyDescent="0.25">
      <c r="B145" s="1"/>
    </row>
    <row r="146" spans="2:2" ht="14.25" customHeight="1" x14ac:dyDescent="0.25">
      <c r="B146" s="1"/>
    </row>
    <row r="147" spans="2:2" ht="14.25" customHeight="1" x14ac:dyDescent="0.25">
      <c r="B147" s="1"/>
    </row>
    <row r="148" spans="2:2" ht="14.25" customHeight="1" x14ac:dyDescent="0.25">
      <c r="B148" s="1"/>
    </row>
    <row r="149" spans="2:2" ht="14.25" customHeight="1" x14ac:dyDescent="0.25">
      <c r="B149" s="1"/>
    </row>
    <row r="150" spans="2:2" ht="14.25" customHeight="1" x14ac:dyDescent="0.25">
      <c r="B150" s="1"/>
    </row>
    <row r="151" spans="2:2" ht="14.25" customHeight="1" x14ac:dyDescent="0.25">
      <c r="B151" s="1"/>
    </row>
    <row r="152" spans="2:2" ht="14.25" customHeight="1" x14ac:dyDescent="0.25">
      <c r="B152" s="1"/>
    </row>
    <row r="153" spans="2:2" ht="14.25" customHeight="1" x14ac:dyDescent="0.25">
      <c r="B153" s="1"/>
    </row>
    <row r="154" spans="2:2" ht="14.25" customHeight="1" x14ac:dyDescent="0.25">
      <c r="B154" s="1"/>
    </row>
    <row r="155" spans="2:2" ht="14.25" customHeight="1" x14ac:dyDescent="0.25">
      <c r="B155" s="1"/>
    </row>
    <row r="156" spans="2:2" ht="14.25" customHeight="1" x14ac:dyDescent="0.25">
      <c r="B156" s="1"/>
    </row>
    <row r="157" spans="2:2" ht="14.25" customHeight="1" x14ac:dyDescent="0.25">
      <c r="B157" s="1"/>
    </row>
    <row r="158" spans="2:2" ht="14.25" customHeight="1" x14ac:dyDescent="0.25">
      <c r="B158" s="1"/>
    </row>
    <row r="159" spans="2:2" ht="14.25" customHeight="1" x14ac:dyDescent="0.25">
      <c r="B159" s="1"/>
    </row>
    <row r="160" spans="2:2" ht="14.25" customHeight="1" x14ac:dyDescent="0.25">
      <c r="B160" s="1"/>
    </row>
    <row r="161" spans="2:2" ht="14.25" customHeight="1" x14ac:dyDescent="0.25">
      <c r="B161" s="1"/>
    </row>
    <row r="162" spans="2:2" ht="14.25" customHeight="1" x14ac:dyDescent="0.25">
      <c r="B162" s="1"/>
    </row>
    <row r="163" spans="2:2" ht="14.25" customHeight="1" x14ac:dyDescent="0.25">
      <c r="B163" s="1"/>
    </row>
    <row r="164" spans="2:2" ht="14.25" customHeight="1" x14ac:dyDescent="0.25">
      <c r="B164" s="1"/>
    </row>
    <row r="165" spans="2:2" ht="14.25" customHeight="1" x14ac:dyDescent="0.25">
      <c r="B165" s="1"/>
    </row>
    <row r="166" spans="2:2" ht="14.25" customHeight="1" x14ac:dyDescent="0.25">
      <c r="B166" s="1"/>
    </row>
    <row r="167" spans="2:2" ht="14.25" customHeight="1" x14ac:dyDescent="0.25">
      <c r="B167" s="1"/>
    </row>
    <row r="168" spans="2:2" ht="14.25" customHeight="1" x14ac:dyDescent="0.25">
      <c r="B168" s="1"/>
    </row>
    <row r="169" spans="2:2" ht="14.25" customHeight="1" x14ac:dyDescent="0.25">
      <c r="B169" s="1"/>
    </row>
    <row r="170" spans="2:2" ht="14.25" customHeight="1" x14ac:dyDescent="0.25">
      <c r="B170" s="1"/>
    </row>
    <row r="171" spans="2:2" ht="14.25" customHeight="1" x14ac:dyDescent="0.25">
      <c r="B171" s="1"/>
    </row>
    <row r="172" spans="2:2" ht="14.25" customHeight="1" x14ac:dyDescent="0.25">
      <c r="B172" s="1"/>
    </row>
    <row r="173" spans="2:2" ht="14.25" customHeight="1" x14ac:dyDescent="0.25">
      <c r="B173" s="1"/>
    </row>
    <row r="174" spans="2:2" ht="14.25" customHeight="1" x14ac:dyDescent="0.25">
      <c r="B174" s="1"/>
    </row>
    <row r="175" spans="2:2" ht="14.25" customHeight="1" x14ac:dyDescent="0.25">
      <c r="B175" s="1"/>
    </row>
    <row r="176" spans="2:2" ht="14.25" customHeight="1" x14ac:dyDescent="0.25">
      <c r="B176" s="1"/>
    </row>
    <row r="177" spans="2:2" ht="14.25" customHeight="1" x14ac:dyDescent="0.25">
      <c r="B177" s="1"/>
    </row>
    <row r="178" spans="2:2" ht="14.25" customHeight="1" x14ac:dyDescent="0.25">
      <c r="B178" s="1"/>
    </row>
    <row r="179" spans="2:2" ht="14.25" customHeight="1" x14ac:dyDescent="0.25">
      <c r="B179" s="1"/>
    </row>
    <row r="180" spans="2:2" ht="14.25" customHeight="1" x14ac:dyDescent="0.25">
      <c r="B180" s="1"/>
    </row>
    <row r="181" spans="2:2" ht="14.25" customHeight="1" x14ac:dyDescent="0.25">
      <c r="B181" s="1"/>
    </row>
    <row r="182" spans="2:2" ht="14.25" customHeight="1" x14ac:dyDescent="0.25">
      <c r="B182" s="1"/>
    </row>
    <row r="183" spans="2:2" ht="14.25" customHeight="1" x14ac:dyDescent="0.25">
      <c r="B183" s="1"/>
    </row>
    <row r="184" spans="2:2" ht="14.25" customHeight="1" x14ac:dyDescent="0.25">
      <c r="B184" s="1"/>
    </row>
    <row r="185" spans="2:2" ht="14.25" customHeight="1" x14ac:dyDescent="0.25">
      <c r="B185" s="1"/>
    </row>
    <row r="186" spans="2:2" ht="14.25" customHeight="1" x14ac:dyDescent="0.25">
      <c r="B186" s="1"/>
    </row>
    <row r="187" spans="2:2" ht="14.25" customHeight="1" x14ac:dyDescent="0.25">
      <c r="B187" s="1"/>
    </row>
    <row r="188" spans="2:2" ht="14.25" customHeight="1" x14ac:dyDescent="0.25">
      <c r="B188" s="1"/>
    </row>
    <row r="189" spans="2:2" ht="14.25" customHeight="1" x14ac:dyDescent="0.25">
      <c r="B189" s="1"/>
    </row>
    <row r="190" spans="2:2" ht="14.25" customHeight="1" x14ac:dyDescent="0.25">
      <c r="B190" s="1"/>
    </row>
    <row r="191" spans="2:2" ht="14.25" customHeight="1" x14ac:dyDescent="0.25">
      <c r="B191" s="1"/>
    </row>
    <row r="192" spans="2:2" ht="14.25" customHeight="1" x14ac:dyDescent="0.25">
      <c r="B192" s="1"/>
    </row>
    <row r="193" spans="2:2" ht="14.25" customHeight="1" x14ac:dyDescent="0.25">
      <c r="B193" s="1"/>
    </row>
    <row r="194" spans="2:2" ht="14.25" customHeight="1" x14ac:dyDescent="0.25">
      <c r="B194" s="1"/>
    </row>
    <row r="195" spans="2:2" ht="14.25" customHeight="1" x14ac:dyDescent="0.25">
      <c r="B195" s="1"/>
    </row>
    <row r="196" spans="2:2" ht="14.25" customHeight="1" x14ac:dyDescent="0.25">
      <c r="B196" s="1"/>
    </row>
    <row r="197" spans="2:2" ht="14.25" customHeight="1" x14ac:dyDescent="0.25">
      <c r="B197" s="1"/>
    </row>
    <row r="198" spans="2:2" ht="14.25" customHeight="1" x14ac:dyDescent="0.25">
      <c r="B198" s="1"/>
    </row>
    <row r="199" spans="2:2" ht="14.25" customHeight="1" x14ac:dyDescent="0.25">
      <c r="B199" s="1"/>
    </row>
    <row r="200" spans="2:2" ht="14.25" customHeight="1" x14ac:dyDescent="0.25">
      <c r="B200" s="1"/>
    </row>
    <row r="201" spans="2:2" ht="14.25" customHeight="1" x14ac:dyDescent="0.25">
      <c r="B201" s="1"/>
    </row>
    <row r="202" spans="2:2" ht="14.25" customHeight="1" x14ac:dyDescent="0.25">
      <c r="B202" s="1"/>
    </row>
    <row r="203" spans="2:2" ht="14.25" customHeight="1" x14ac:dyDescent="0.25">
      <c r="B203" s="1"/>
    </row>
    <row r="204" spans="2:2" ht="14.25" customHeight="1" x14ac:dyDescent="0.25">
      <c r="B204" s="1"/>
    </row>
    <row r="205" spans="2:2" ht="14.25" customHeight="1" x14ac:dyDescent="0.25">
      <c r="B205" s="1"/>
    </row>
    <row r="206" spans="2:2" ht="14.25" customHeight="1" x14ac:dyDescent="0.25">
      <c r="B206" s="1"/>
    </row>
    <row r="207" spans="2:2" ht="14.25" customHeight="1" x14ac:dyDescent="0.25">
      <c r="B207" s="1"/>
    </row>
    <row r="208" spans="2:2" ht="14.25" customHeight="1" x14ac:dyDescent="0.25">
      <c r="B208" s="1"/>
    </row>
    <row r="209" spans="2:2" ht="14.25" customHeight="1" x14ac:dyDescent="0.25">
      <c r="B209" s="1"/>
    </row>
    <row r="210" spans="2:2" ht="14.25" customHeight="1" x14ac:dyDescent="0.25">
      <c r="B210" s="1"/>
    </row>
    <row r="211" spans="2:2" ht="14.25" customHeight="1" x14ac:dyDescent="0.25">
      <c r="B211" s="1"/>
    </row>
    <row r="212" spans="2:2" ht="14.25" customHeight="1" x14ac:dyDescent="0.25">
      <c r="B212" s="1"/>
    </row>
    <row r="213" spans="2:2" ht="14.25" customHeight="1" x14ac:dyDescent="0.25">
      <c r="B213" s="1"/>
    </row>
    <row r="214" spans="2:2" ht="14.25" customHeight="1" x14ac:dyDescent="0.25">
      <c r="B214" s="1"/>
    </row>
    <row r="215" spans="2:2" ht="14.25" customHeight="1" x14ac:dyDescent="0.25">
      <c r="B215" s="1"/>
    </row>
    <row r="216" spans="2:2" ht="14.25" customHeight="1" x14ac:dyDescent="0.25">
      <c r="B216" s="1"/>
    </row>
    <row r="217" spans="2:2" ht="14.25" customHeight="1" x14ac:dyDescent="0.25">
      <c r="B217" s="1"/>
    </row>
    <row r="218" spans="2:2" ht="14.25" customHeight="1" x14ac:dyDescent="0.25">
      <c r="B218" s="1"/>
    </row>
    <row r="219" spans="2:2" ht="14.25" customHeight="1" x14ac:dyDescent="0.25">
      <c r="B219" s="1"/>
    </row>
    <row r="220" spans="2:2" ht="14.25" customHeight="1" x14ac:dyDescent="0.25">
      <c r="B220" s="1"/>
    </row>
    <row r="221" spans="2:2" ht="14.25" customHeight="1" x14ac:dyDescent="0.25">
      <c r="B221" s="1"/>
    </row>
    <row r="222" spans="2:2" ht="14.25" customHeight="1" x14ac:dyDescent="0.25">
      <c r="B222" s="1"/>
    </row>
    <row r="223" spans="2:2" ht="14.25" customHeight="1" x14ac:dyDescent="0.25">
      <c r="B223" s="1"/>
    </row>
    <row r="224" spans="2:2" ht="14.25" customHeight="1" x14ac:dyDescent="0.25">
      <c r="B224" s="1"/>
    </row>
    <row r="225" spans="2:2" ht="14.25" customHeight="1" x14ac:dyDescent="0.25">
      <c r="B225" s="1"/>
    </row>
    <row r="226" spans="2:2" ht="14.25" customHeight="1" x14ac:dyDescent="0.25">
      <c r="B226" s="1"/>
    </row>
    <row r="227" spans="2:2" ht="14.25" customHeight="1" x14ac:dyDescent="0.25">
      <c r="B227" s="1"/>
    </row>
    <row r="228" spans="2:2" ht="14.25" customHeight="1" x14ac:dyDescent="0.25">
      <c r="B228" s="1"/>
    </row>
    <row r="229" spans="2:2" ht="14.25" customHeight="1" x14ac:dyDescent="0.25">
      <c r="B229" s="1"/>
    </row>
    <row r="230" spans="2:2" ht="14.25" customHeight="1" x14ac:dyDescent="0.25">
      <c r="B230" s="1"/>
    </row>
    <row r="231" spans="2:2" ht="14.25" customHeight="1" x14ac:dyDescent="0.25">
      <c r="B231" s="1"/>
    </row>
    <row r="232" spans="2:2" ht="14.25" customHeight="1" x14ac:dyDescent="0.25">
      <c r="B232" s="1"/>
    </row>
    <row r="233" spans="2:2" ht="14.25" customHeight="1" x14ac:dyDescent="0.25">
      <c r="B233" s="1"/>
    </row>
    <row r="234" spans="2:2" ht="14.25" customHeight="1" x14ac:dyDescent="0.25">
      <c r="B234" s="1"/>
    </row>
    <row r="235" spans="2:2" ht="14.25" customHeight="1" x14ac:dyDescent="0.25">
      <c r="B235" s="1"/>
    </row>
    <row r="236" spans="2:2" ht="14.25" customHeight="1" x14ac:dyDescent="0.25">
      <c r="B236" s="1"/>
    </row>
    <row r="237" spans="2:2" ht="14.25" customHeight="1" x14ac:dyDescent="0.25">
      <c r="B237" s="1"/>
    </row>
    <row r="238" spans="2:2" ht="14.25" customHeight="1" x14ac:dyDescent="0.25">
      <c r="B238" s="1"/>
    </row>
    <row r="239" spans="2:2" ht="14.25" customHeight="1" x14ac:dyDescent="0.25">
      <c r="B239" s="1"/>
    </row>
    <row r="240" spans="2:2" ht="14.25" customHeight="1" x14ac:dyDescent="0.25">
      <c r="B240" s="1"/>
    </row>
    <row r="241" spans="2:2" ht="14.25" customHeight="1" x14ac:dyDescent="0.25">
      <c r="B241" s="1"/>
    </row>
    <row r="242" spans="2:2" ht="14.25" customHeight="1" x14ac:dyDescent="0.25">
      <c r="B242" s="1"/>
    </row>
    <row r="243" spans="2:2" ht="14.25" customHeight="1" x14ac:dyDescent="0.25">
      <c r="B243" s="1"/>
    </row>
    <row r="244" spans="2:2" ht="14.25" customHeight="1" x14ac:dyDescent="0.25">
      <c r="B244" s="1"/>
    </row>
    <row r="245" spans="2:2" ht="14.25" customHeight="1" x14ac:dyDescent="0.25">
      <c r="B245" s="1"/>
    </row>
    <row r="246" spans="2:2" ht="14.25" customHeight="1" x14ac:dyDescent="0.25">
      <c r="B246" s="1"/>
    </row>
    <row r="247" spans="2:2" ht="14.25" customHeight="1" x14ac:dyDescent="0.25">
      <c r="B247" s="1"/>
    </row>
    <row r="248" spans="2:2" ht="14.25" customHeight="1" x14ac:dyDescent="0.25">
      <c r="B248" s="1"/>
    </row>
    <row r="249" spans="2:2" ht="14.25" customHeight="1" x14ac:dyDescent="0.25">
      <c r="B249" s="1"/>
    </row>
    <row r="250" spans="2:2" ht="14.25" customHeight="1" x14ac:dyDescent="0.25">
      <c r="B250" s="1"/>
    </row>
    <row r="251" spans="2:2" ht="14.25" customHeight="1" x14ac:dyDescent="0.25">
      <c r="B251" s="1"/>
    </row>
    <row r="252" spans="2:2" ht="14.25" customHeight="1" x14ac:dyDescent="0.25">
      <c r="B252" s="1"/>
    </row>
    <row r="253" spans="2:2" ht="14.25" customHeight="1" x14ac:dyDescent="0.25">
      <c r="B253" s="1"/>
    </row>
    <row r="254" spans="2:2" ht="14.25" customHeight="1" x14ac:dyDescent="0.25">
      <c r="B254" s="1"/>
    </row>
    <row r="255" spans="2:2" ht="14.25" customHeight="1" x14ac:dyDescent="0.25">
      <c r="B255" s="1"/>
    </row>
    <row r="256" spans="2:2" ht="14.25" customHeight="1" x14ac:dyDescent="0.25">
      <c r="B256" s="1"/>
    </row>
    <row r="257" spans="2:2" ht="14.25" customHeight="1" x14ac:dyDescent="0.25">
      <c r="B257" s="1"/>
    </row>
    <row r="258" spans="2:2" ht="14.25" customHeight="1" x14ac:dyDescent="0.25">
      <c r="B258" s="1"/>
    </row>
    <row r="259" spans="2:2" ht="14.25" customHeight="1" x14ac:dyDescent="0.25">
      <c r="B259" s="1"/>
    </row>
    <row r="260" spans="2:2" ht="14.25" customHeight="1" x14ac:dyDescent="0.25">
      <c r="B260" s="1"/>
    </row>
    <row r="261" spans="2:2" ht="14.25" customHeight="1" x14ac:dyDescent="0.25">
      <c r="B261" s="1"/>
    </row>
    <row r="262" spans="2:2" ht="14.25" customHeight="1" x14ac:dyDescent="0.25">
      <c r="B262" s="1"/>
    </row>
    <row r="263" spans="2:2" ht="14.25" customHeight="1" x14ac:dyDescent="0.25">
      <c r="B263" s="1"/>
    </row>
    <row r="264" spans="2:2" ht="14.25" customHeight="1" x14ac:dyDescent="0.25">
      <c r="B264" s="1"/>
    </row>
    <row r="265" spans="2:2" ht="14.25" customHeight="1" x14ac:dyDescent="0.25">
      <c r="B265" s="1"/>
    </row>
    <row r="266" spans="2:2" ht="14.25" customHeight="1" x14ac:dyDescent="0.25">
      <c r="B266" s="1"/>
    </row>
    <row r="267" spans="2:2" ht="14.25" customHeight="1" x14ac:dyDescent="0.25">
      <c r="B267" s="1"/>
    </row>
    <row r="268" spans="2:2" ht="14.25" customHeight="1" x14ac:dyDescent="0.25">
      <c r="B268" s="1"/>
    </row>
    <row r="269" spans="2:2" ht="14.25" customHeight="1" x14ac:dyDescent="0.25">
      <c r="B269" s="1"/>
    </row>
    <row r="270" spans="2:2" ht="14.25" customHeight="1" x14ac:dyDescent="0.25">
      <c r="B270" s="1"/>
    </row>
    <row r="271" spans="2:2" ht="14.25" customHeight="1" x14ac:dyDescent="0.25">
      <c r="B271" s="1"/>
    </row>
    <row r="272" spans="2:2" ht="14.25" customHeight="1" x14ac:dyDescent="0.25">
      <c r="B272" s="1"/>
    </row>
    <row r="273" spans="2:2" ht="14.25" customHeight="1" x14ac:dyDescent="0.25">
      <c r="B273" s="1"/>
    </row>
    <row r="274" spans="2:2" ht="14.25" customHeight="1" x14ac:dyDescent="0.25">
      <c r="B274" s="1"/>
    </row>
    <row r="275" spans="2:2" ht="14.25" customHeight="1" x14ac:dyDescent="0.25">
      <c r="B275" s="1"/>
    </row>
    <row r="276" spans="2:2" ht="14.25" customHeight="1" x14ac:dyDescent="0.25">
      <c r="B276" s="1"/>
    </row>
    <row r="277" spans="2:2" ht="14.25" customHeight="1" x14ac:dyDescent="0.25">
      <c r="B277" s="1"/>
    </row>
    <row r="278" spans="2:2" ht="14.25" customHeight="1" x14ac:dyDescent="0.25">
      <c r="B278" s="1"/>
    </row>
    <row r="279" spans="2:2" ht="14.25" customHeight="1" x14ac:dyDescent="0.25">
      <c r="B279" s="1"/>
    </row>
    <row r="280" spans="2:2" ht="14.25" customHeight="1" x14ac:dyDescent="0.25">
      <c r="B280" s="1"/>
    </row>
    <row r="281" spans="2:2" ht="14.25" customHeight="1" x14ac:dyDescent="0.25">
      <c r="B281" s="1"/>
    </row>
    <row r="282" spans="2:2" ht="14.25" customHeight="1" x14ac:dyDescent="0.25">
      <c r="B282" s="1"/>
    </row>
    <row r="283" spans="2:2" ht="14.25" customHeight="1" x14ac:dyDescent="0.25">
      <c r="B283" s="1"/>
    </row>
    <row r="284" spans="2:2" ht="14.25" customHeight="1" x14ac:dyDescent="0.25">
      <c r="B284" s="1"/>
    </row>
    <row r="285" spans="2:2" ht="14.25" customHeight="1" x14ac:dyDescent="0.25">
      <c r="B285" s="1"/>
    </row>
    <row r="286" spans="2:2" ht="14.25" customHeight="1" x14ac:dyDescent="0.25">
      <c r="B286" s="1"/>
    </row>
    <row r="287" spans="2:2" ht="14.25" customHeight="1" x14ac:dyDescent="0.25">
      <c r="B287" s="1"/>
    </row>
    <row r="288" spans="2:2" ht="14.25" customHeight="1" x14ac:dyDescent="0.25">
      <c r="B288" s="1"/>
    </row>
    <row r="289" spans="2:2" ht="14.25" customHeight="1" x14ac:dyDescent="0.25">
      <c r="B289" s="1"/>
    </row>
    <row r="290" spans="2:2" ht="14.25" customHeight="1" x14ac:dyDescent="0.25">
      <c r="B290" s="1"/>
    </row>
    <row r="291" spans="2:2" ht="14.25" customHeight="1" x14ac:dyDescent="0.25">
      <c r="B291" s="1"/>
    </row>
    <row r="292" spans="2:2" ht="14.25" customHeight="1" x14ac:dyDescent="0.25">
      <c r="B292" s="1"/>
    </row>
    <row r="293" spans="2:2" ht="14.25" customHeight="1" x14ac:dyDescent="0.25">
      <c r="B293" s="1"/>
    </row>
    <row r="294" spans="2:2" ht="14.25" customHeight="1" x14ac:dyDescent="0.25">
      <c r="B294" s="1"/>
    </row>
    <row r="295" spans="2:2" ht="14.25" customHeight="1" x14ac:dyDescent="0.25">
      <c r="B295" s="1"/>
    </row>
    <row r="296" spans="2:2" ht="14.25" customHeight="1" x14ac:dyDescent="0.25">
      <c r="B296" s="1"/>
    </row>
    <row r="297" spans="2:2" ht="14.25" customHeight="1" x14ac:dyDescent="0.25">
      <c r="B297" s="1"/>
    </row>
    <row r="298" spans="2:2" ht="14.25" customHeight="1" x14ac:dyDescent="0.25">
      <c r="B298" s="1"/>
    </row>
    <row r="299" spans="2:2" ht="14.25" customHeight="1" x14ac:dyDescent="0.25">
      <c r="B299" s="1"/>
    </row>
    <row r="300" spans="2:2" ht="14.25" customHeight="1" x14ac:dyDescent="0.25">
      <c r="B300" s="1"/>
    </row>
    <row r="301" spans="2:2" ht="14.25" customHeight="1" x14ac:dyDescent="0.25">
      <c r="B301" s="1"/>
    </row>
    <row r="302" spans="2:2" ht="14.25" customHeight="1" x14ac:dyDescent="0.25">
      <c r="B302" s="1"/>
    </row>
    <row r="303" spans="2:2" ht="14.25" customHeight="1" x14ac:dyDescent="0.25">
      <c r="B303" s="1"/>
    </row>
    <row r="304" spans="2:2" ht="14.25" customHeight="1" x14ac:dyDescent="0.25">
      <c r="B304" s="1"/>
    </row>
    <row r="305" spans="2:2" ht="14.25" customHeight="1" x14ac:dyDescent="0.25">
      <c r="B305" s="1"/>
    </row>
    <row r="306" spans="2:2" ht="14.25" customHeight="1" x14ac:dyDescent="0.25">
      <c r="B306" s="1"/>
    </row>
    <row r="307" spans="2:2" ht="14.25" customHeight="1" x14ac:dyDescent="0.25">
      <c r="B307" s="1"/>
    </row>
    <row r="308" spans="2:2" ht="14.25" customHeight="1" x14ac:dyDescent="0.25">
      <c r="B308" s="1"/>
    </row>
    <row r="309" spans="2:2" ht="14.25" customHeight="1" x14ac:dyDescent="0.25">
      <c r="B309" s="1"/>
    </row>
    <row r="310" spans="2:2" ht="14.25" customHeight="1" x14ac:dyDescent="0.25">
      <c r="B310" s="1"/>
    </row>
    <row r="311" spans="2:2" ht="14.25" customHeight="1" x14ac:dyDescent="0.25">
      <c r="B311" s="1"/>
    </row>
    <row r="312" spans="2:2" ht="14.25" customHeight="1" x14ac:dyDescent="0.25">
      <c r="B312" s="1"/>
    </row>
    <row r="313" spans="2:2" ht="14.25" customHeight="1" x14ac:dyDescent="0.25">
      <c r="B313" s="1"/>
    </row>
    <row r="314" spans="2:2" ht="14.25" customHeight="1" x14ac:dyDescent="0.25">
      <c r="B314" s="1"/>
    </row>
    <row r="315" spans="2:2" ht="14.25" customHeight="1" x14ac:dyDescent="0.25">
      <c r="B315" s="1"/>
    </row>
    <row r="316" spans="2:2" ht="14.25" customHeight="1" x14ac:dyDescent="0.25">
      <c r="B316" s="1"/>
    </row>
    <row r="317" spans="2:2" ht="14.25" customHeight="1" x14ac:dyDescent="0.25">
      <c r="B317" s="1"/>
    </row>
    <row r="318" spans="2:2" ht="14.25" customHeight="1" x14ac:dyDescent="0.25">
      <c r="B318" s="1"/>
    </row>
    <row r="319" spans="2:2" ht="14.25" customHeight="1" x14ac:dyDescent="0.25">
      <c r="B319" s="1"/>
    </row>
    <row r="320" spans="2:2" ht="14.25" customHeight="1" x14ac:dyDescent="0.25">
      <c r="B320" s="1"/>
    </row>
    <row r="321" spans="2:2" ht="14.25" customHeight="1" x14ac:dyDescent="0.25">
      <c r="B321" s="1"/>
    </row>
    <row r="322" spans="2:2" ht="14.25" customHeight="1" x14ac:dyDescent="0.25">
      <c r="B322" s="1"/>
    </row>
    <row r="323" spans="2:2" ht="14.25" customHeight="1" x14ac:dyDescent="0.25">
      <c r="B323" s="1"/>
    </row>
    <row r="324" spans="2:2" ht="14.25" customHeight="1" x14ac:dyDescent="0.25">
      <c r="B324" s="1"/>
    </row>
    <row r="325" spans="2:2" ht="14.25" customHeight="1" x14ac:dyDescent="0.25">
      <c r="B325" s="1"/>
    </row>
    <row r="326" spans="2:2" ht="14.25" customHeight="1" x14ac:dyDescent="0.25">
      <c r="B326" s="1"/>
    </row>
    <row r="327" spans="2:2" ht="14.25" customHeight="1" x14ac:dyDescent="0.25">
      <c r="B327" s="1"/>
    </row>
    <row r="328" spans="2:2" ht="14.25" customHeight="1" x14ac:dyDescent="0.25">
      <c r="B328" s="1"/>
    </row>
    <row r="329" spans="2:2" ht="14.25" customHeight="1" x14ac:dyDescent="0.25">
      <c r="B329" s="1"/>
    </row>
    <row r="330" spans="2:2" ht="14.25" customHeight="1" x14ac:dyDescent="0.25">
      <c r="B330" s="1"/>
    </row>
    <row r="331" spans="2:2" ht="14.25" customHeight="1" x14ac:dyDescent="0.25">
      <c r="B331" s="1"/>
    </row>
    <row r="332" spans="2:2" ht="14.25" customHeight="1" x14ac:dyDescent="0.25">
      <c r="B332" s="1"/>
    </row>
    <row r="333" spans="2:2" ht="14.25" customHeight="1" x14ac:dyDescent="0.25">
      <c r="B333" s="1"/>
    </row>
    <row r="334" spans="2:2" ht="14.25" customHeight="1" x14ac:dyDescent="0.25">
      <c r="B334" s="1"/>
    </row>
    <row r="335" spans="2:2" ht="14.25" customHeight="1" x14ac:dyDescent="0.25">
      <c r="B335" s="1"/>
    </row>
    <row r="336" spans="2:2" ht="14.25" customHeight="1" x14ac:dyDescent="0.25">
      <c r="B336" s="1"/>
    </row>
    <row r="337" spans="2:2" ht="14.25" customHeight="1" x14ac:dyDescent="0.25">
      <c r="B337" s="1"/>
    </row>
    <row r="338" spans="2:2" ht="14.25" customHeight="1" x14ac:dyDescent="0.25">
      <c r="B338" s="1"/>
    </row>
    <row r="339" spans="2:2" ht="14.25" customHeight="1" x14ac:dyDescent="0.25">
      <c r="B339" s="1"/>
    </row>
    <row r="340" spans="2:2" ht="14.25" customHeight="1" x14ac:dyDescent="0.25">
      <c r="B340" s="1"/>
    </row>
    <row r="341" spans="2:2" ht="14.25" customHeight="1" x14ac:dyDescent="0.25">
      <c r="B341" s="1"/>
    </row>
    <row r="342" spans="2:2" ht="14.25" customHeight="1" x14ac:dyDescent="0.25">
      <c r="B342" s="1"/>
    </row>
    <row r="343" spans="2:2" ht="14.25" customHeight="1" x14ac:dyDescent="0.25">
      <c r="B343" s="1"/>
    </row>
    <row r="344" spans="2:2" ht="14.25" customHeight="1" x14ac:dyDescent="0.25">
      <c r="B344" s="1"/>
    </row>
    <row r="345" spans="2:2" ht="14.25" customHeight="1" x14ac:dyDescent="0.25">
      <c r="B345" s="1"/>
    </row>
    <row r="346" spans="2:2" ht="14.25" customHeight="1" x14ac:dyDescent="0.25">
      <c r="B346" s="1"/>
    </row>
    <row r="347" spans="2:2" ht="14.25" customHeight="1" x14ac:dyDescent="0.25">
      <c r="B347" s="1"/>
    </row>
    <row r="348" spans="2:2" ht="14.25" customHeight="1" x14ac:dyDescent="0.25">
      <c r="B348" s="1"/>
    </row>
    <row r="349" spans="2:2" ht="14.25" customHeight="1" x14ac:dyDescent="0.25">
      <c r="B349" s="1"/>
    </row>
    <row r="350" spans="2:2" ht="14.25" customHeight="1" x14ac:dyDescent="0.25">
      <c r="B350" s="1"/>
    </row>
    <row r="351" spans="2:2" ht="14.25" customHeight="1" x14ac:dyDescent="0.25">
      <c r="B351" s="1"/>
    </row>
    <row r="352" spans="2:2" ht="14.25" customHeight="1" x14ac:dyDescent="0.25">
      <c r="B352" s="1"/>
    </row>
    <row r="353" spans="2:2" ht="14.25" customHeight="1" x14ac:dyDescent="0.25">
      <c r="B353" s="1"/>
    </row>
    <row r="354" spans="2:2" ht="14.25" customHeight="1" x14ac:dyDescent="0.25">
      <c r="B354" s="1"/>
    </row>
    <row r="355" spans="2:2" ht="14.25" customHeight="1" x14ac:dyDescent="0.25">
      <c r="B355" s="1"/>
    </row>
    <row r="356" spans="2:2" ht="14.25" customHeight="1" x14ac:dyDescent="0.25">
      <c r="B356" s="1"/>
    </row>
    <row r="357" spans="2:2" ht="14.25" customHeight="1" x14ac:dyDescent="0.25">
      <c r="B357" s="1"/>
    </row>
    <row r="358" spans="2:2" ht="14.25" customHeight="1" x14ac:dyDescent="0.25">
      <c r="B358" s="1"/>
    </row>
    <row r="359" spans="2:2" ht="14.25" customHeight="1" x14ac:dyDescent="0.25">
      <c r="B359" s="1"/>
    </row>
    <row r="360" spans="2:2" ht="14.25" customHeight="1" x14ac:dyDescent="0.25">
      <c r="B360" s="1"/>
    </row>
    <row r="361" spans="2:2" ht="14.25" customHeight="1" x14ac:dyDescent="0.25">
      <c r="B361" s="1"/>
    </row>
    <row r="362" spans="2:2" ht="14.25" customHeight="1" x14ac:dyDescent="0.25">
      <c r="B362" s="1"/>
    </row>
    <row r="363" spans="2:2" ht="14.25" customHeight="1" x14ac:dyDescent="0.25">
      <c r="B363" s="1"/>
    </row>
    <row r="364" spans="2:2" ht="14.25" customHeight="1" x14ac:dyDescent="0.25">
      <c r="B364" s="1"/>
    </row>
    <row r="365" spans="2:2" ht="14.25" customHeight="1" x14ac:dyDescent="0.25">
      <c r="B365" s="1"/>
    </row>
    <row r="366" spans="2:2" ht="14.25" customHeight="1" x14ac:dyDescent="0.25">
      <c r="B366" s="1"/>
    </row>
    <row r="367" spans="2:2" ht="14.25" customHeight="1" x14ac:dyDescent="0.25">
      <c r="B367" s="1"/>
    </row>
    <row r="368" spans="2:2" ht="14.25" customHeight="1" x14ac:dyDescent="0.25">
      <c r="B368" s="1"/>
    </row>
    <row r="369" spans="2:2" ht="14.25" customHeight="1" x14ac:dyDescent="0.25">
      <c r="B369" s="1"/>
    </row>
    <row r="370" spans="2:2" ht="14.25" customHeight="1" x14ac:dyDescent="0.25">
      <c r="B370" s="1"/>
    </row>
    <row r="371" spans="2:2" ht="14.25" customHeight="1" x14ac:dyDescent="0.25">
      <c r="B371" s="1"/>
    </row>
    <row r="372" spans="2:2" ht="14.25" customHeight="1" x14ac:dyDescent="0.25">
      <c r="B372" s="1"/>
    </row>
    <row r="373" spans="2:2" ht="14.25" customHeight="1" x14ac:dyDescent="0.25">
      <c r="B373" s="1"/>
    </row>
    <row r="374" spans="2:2" ht="14.25" customHeight="1" x14ac:dyDescent="0.25">
      <c r="B374" s="1"/>
    </row>
    <row r="375" spans="2:2" ht="14.25" customHeight="1" x14ac:dyDescent="0.25">
      <c r="B375" s="1"/>
    </row>
    <row r="376" spans="2:2" ht="14.25" customHeight="1" x14ac:dyDescent="0.25">
      <c r="B376" s="1"/>
    </row>
    <row r="377" spans="2:2" ht="14.25" customHeight="1" x14ac:dyDescent="0.25">
      <c r="B377" s="1"/>
    </row>
    <row r="378" spans="2:2" ht="14.25" customHeight="1" x14ac:dyDescent="0.25">
      <c r="B378" s="1"/>
    </row>
    <row r="379" spans="2:2" ht="14.25" customHeight="1" x14ac:dyDescent="0.25">
      <c r="B379" s="1"/>
    </row>
    <row r="380" spans="2:2" ht="14.25" customHeight="1" x14ac:dyDescent="0.25">
      <c r="B380" s="1"/>
    </row>
    <row r="381" spans="2:2" ht="14.25" customHeight="1" x14ac:dyDescent="0.25">
      <c r="B381" s="1"/>
    </row>
    <row r="382" spans="2:2" ht="14.25" customHeight="1" x14ac:dyDescent="0.25">
      <c r="B382" s="1"/>
    </row>
    <row r="383" spans="2:2" ht="14.25" customHeight="1" x14ac:dyDescent="0.25">
      <c r="B383" s="1"/>
    </row>
    <row r="384" spans="2:2" ht="14.25" customHeight="1" x14ac:dyDescent="0.25">
      <c r="B384" s="1"/>
    </row>
    <row r="385" spans="2:2" ht="14.25" customHeight="1" x14ac:dyDescent="0.25">
      <c r="B385" s="1"/>
    </row>
    <row r="386" spans="2:2" ht="14.25" customHeight="1" x14ac:dyDescent="0.25">
      <c r="B386" s="1"/>
    </row>
    <row r="387" spans="2:2" ht="14.25" customHeight="1" x14ac:dyDescent="0.25">
      <c r="B387" s="1"/>
    </row>
    <row r="388" spans="2:2" ht="14.25" customHeight="1" x14ac:dyDescent="0.25">
      <c r="B388" s="1"/>
    </row>
    <row r="389" spans="2:2" ht="14.25" customHeight="1" x14ac:dyDescent="0.25">
      <c r="B389" s="1"/>
    </row>
    <row r="390" spans="2:2" ht="14.25" customHeight="1" x14ac:dyDescent="0.25">
      <c r="B390" s="1"/>
    </row>
    <row r="391" spans="2:2" ht="14.25" customHeight="1" x14ac:dyDescent="0.25">
      <c r="B391" s="1"/>
    </row>
    <row r="392" spans="2:2" ht="14.25" customHeight="1" x14ac:dyDescent="0.25">
      <c r="B392" s="1"/>
    </row>
    <row r="393" spans="2:2" ht="14.25" customHeight="1" x14ac:dyDescent="0.25">
      <c r="B393" s="1"/>
    </row>
    <row r="394" spans="2:2" ht="14.25" customHeight="1" x14ac:dyDescent="0.25">
      <c r="B394" s="1"/>
    </row>
    <row r="395" spans="2:2" ht="14.25" customHeight="1" x14ac:dyDescent="0.25">
      <c r="B395" s="1"/>
    </row>
    <row r="396" spans="2:2" ht="14.25" customHeight="1" x14ac:dyDescent="0.25">
      <c r="B396" s="1"/>
    </row>
    <row r="397" spans="2:2" ht="14.25" customHeight="1" x14ac:dyDescent="0.25">
      <c r="B397" s="1"/>
    </row>
    <row r="398" spans="2:2" ht="14.25" customHeight="1" x14ac:dyDescent="0.25">
      <c r="B398" s="1"/>
    </row>
    <row r="399" spans="2:2" ht="14.25" customHeight="1" x14ac:dyDescent="0.25">
      <c r="B399" s="1"/>
    </row>
    <row r="400" spans="2:2" ht="14.25" customHeight="1" x14ac:dyDescent="0.25">
      <c r="B400" s="1"/>
    </row>
    <row r="401" spans="2:2" ht="14.25" customHeight="1" x14ac:dyDescent="0.25">
      <c r="B401" s="1"/>
    </row>
    <row r="402" spans="2:2" ht="14.25" customHeight="1" x14ac:dyDescent="0.25">
      <c r="B402" s="1"/>
    </row>
    <row r="403" spans="2:2" ht="14.25" customHeight="1" x14ac:dyDescent="0.25">
      <c r="B403" s="1"/>
    </row>
    <row r="404" spans="2:2" ht="14.25" customHeight="1" x14ac:dyDescent="0.25">
      <c r="B404" s="1"/>
    </row>
    <row r="405" spans="2:2" ht="14.25" customHeight="1" x14ac:dyDescent="0.25">
      <c r="B405" s="1"/>
    </row>
    <row r="406" spans="2:2" ht="14.25" customHeight="1" x14ac:dyDescent="0.25">
      <c r="B406" s="1"/>
    </row>
    <row r="407" spans="2:2" ht="14.25" customHeight="1" x14ac:dyDescent="0.25">
      <c r="B407" s="1"/>
    </row>
    <row r="408" spans="2:2" ht="14.25" customHeight="1" x14ac:dyDescent="0.25">
      <c r="B408" s="1"/>
    </row>
    <row r="409" spans="2:2" ht="14.25" customHeight="1" x14ac:dyDescent="0.25">
      <c r="B409" s="1"/>
    </row>
    <row r="410" spans="2:2" ht="14.25" customHeight="1" x14ac:dyDescent="0.25">
      <c r="B410" s="1"/>
    </row>
    <row r="411" spans="2:2" ht="14.25" customHeight="1" x14ac:dyDescent="0.25">
      <c r="B411" s="1"/>
    </row>
    <row r="412" spans="2:2" ht="14.25" customHeight="1" x14ac:dyDescent="0.25">
      <c r="B412" s="1"/>
    </row>
    <row r="413" spans="2:2" ht="14.25" customHeight="1" x14ac:dyDescent="0.25">
      <c r="B413" s="1"/>
    </row>
    <row r="414" spans="2:2" ht="14.25" customHeight="1" x14ac:dyDescent="0.25">
      <c r="B414" s="1"/>
    </row>
    <row r="415" spans="2:2" ht="14.25" customHeight="1" x14ac:dyDescent="0.25">
      <c r="B415" s="1"/>
    </row>
    <row r="416" spans="2:2" ht="14.25" customHeight="1" x14ac:dyDescent="0.25">
      <c r="B416" s="1"/>
    </row>
    <row r="417" spans="2:2" ht="14.25" customHeight="1" x14ac:dyDescent="0.25">
      <c r="B417" s="1"/>
    </row>
    <row r="418" spans="2:2" ht="14.25" customHeight="1" x14ac:dyDescent="0.25">
      <c r="B418" s="1"/>
    </row>
    <row r="419" spans="2:2" ht="14.25" customHeight="1" x14ac:dyDescent="0.25">
      <c r="B419" s="1"/>
    </row>
    <row r="420" spans="2:2" ht="14.25" customHeight="1" x14ac:dyDescent="0.25">
      <c r="B420" s="1"/>
    </row>
    <row r="421" spans="2:2" ht="14.25" customHeight="1" x14ac:dyDescent="0.25">
      <c r="B421" s="1"/>
    </row>
    <row r="422" spans="2:2" ht="14.25" customHeight="1" x14ac:dyDescent="0.25">
      <c r="B422" s="1"/>
    </row>
    <row r="423" spans="2:2" ht="14.25" customHeight="1" x14ac:dyDescent="0.25">
      <c r="B423" s="1"/>
    </row>
    <row r="424" spans="2:2" ht="14.25" customHeight="1" x14ac:dyDescent="0.25">
      <c r="B424" s="1"/>
    </row>
    <row r="425" spans="2:2" ht="14.25" customHeight="1" x14ac:dyDescent="0.25">
      <c r="B425" s="1"/>
    </row>
    <row r="426" spans="2:2" ht="14.25" customHeight="1" x14ac:dyDescent="0.25">
      <c r="B426" s="1"/>
    </row>
    <row r="427" spans="2:2" ht="14.25" customHeight="1" x14ac:dyDescent="0.25">
      <c r="B427" s="1"/>
    </row>
    <row r="428" spans="2:2" ht="14.25" customHeight="1" x14ac:dyDescent="0.25">
      <c r="B428" s="1"/>
    </row>
    <row r="429" spans="2:2" ht="14.25" customHeight="1" x14ac:dyDescent="0.25">
      <c r="B429" s="1"/>
    </row>
    <row r="430" spans="2:2" ht="14.25" customHeight="1" x14ac:dyDescent="0.25">
      <c r="B430" s="1"/>
    </row>
    <row r="431" spans="2:2" ht="14.25" customHeight="1" x14ac:dyDescent="0.25">
      <c r="B431" s="1"/>
    </row>
    <row r="432" spans="2:2" ht="14.25" customHeight="1" x14ac:dyDescent="0.25">
      <c r="B432" s="1"/>
    </row>
    <row r="433" spans="2:2" ht="14.25" customHeight="1" x14ac:dyDescent="0.25">
      <c r="B433" s="1"/>
    </row>
    <row r="434" spans="2:2" ht="14.25" customHeight="1" x14ac:dyDescent="0.25">
      <c r="B434" s="1"/>
    </row>
    <row r="435" spans="2:2" ht="14.25" customHeight="1" x14ac:dyDescent="0.25">
      <c r="B435" s="1"/>
    </row>
    <row r="436" spans="2:2" ht="14.25" customHeight="1" x14ac:dyDescent="0.25">
      <c r="B436" s="1"/>
    </row>
    <row r="437" spans="2:2" ht="14.25" customHeight="1" x14ac:dyDescent="0.25">
      <c r="B437" s="1"/>
    </row>
    <row r="438" spans="2:2" ht="14.25" customHeight="1" x14ac:dyDescent="0.25">
      <c r="B438" s="1"/>
    </row>
    <row r="439" spans="2:2" ht="14.25" customHeight="1" x14ac:dyDescent="0.25">
      <c r="B439" s="1"/>
    </row>
    <row r="440" spans="2:2" ht="14.25" customHeight="1" x14ac:dyDescent="0.25">
      <c r="B440" s="1"/>
    </row>
    <row r="441" spans="2:2" ht="14.25" customHeight="1" x14ac:dyDescent="0.25">
      <c r="B441" s="1"/>
    </row>
    <row r="442" spans="2:2" ht="14.25" customHeight="1" x14ac:dyDescent="0.25">
      <c r="B442" s="1"/>
    </row>
    <row r="443" spans="2:2" ht="14.25" customHeight="1" x14ac:dyDescent="0.25">
      <c r="B443" s="1"/>
    </row>
    <row r="444" spans="2:2" ht="14.25" customHeight="1" x14ac:dyDescent="0.25">
      <c r="B444" s="1"/>
    </row>
    <row r="445" spans="2:2" ht="14.25" customHeight="1" x14ac:dyDescent="0.25">
      <c r="B445" s="1"/>
    </row>
    <row r="446" spans="2:2" ht="14.25" customHeight="1" x14ac:dyDescent="0.25">
      <c r="B446" s="1"/>
    </row>
    <row r="447" spans="2:2" ht="14.25" customHeight="1" x14ac:dyDescent="0.25">
      <c r="B447" s="1"/>
    </row>
    <row r="448" spans="2:2" ht="14.25" customHeight="1" x14ac:dyDescent="0.25">
      <c r="B448" s="1"/>
    </row>
    <row r="449" spans="2:2" ht="14.25" customHeight="1" x14ac:dyDescent="0.25">
      <c r="B449" s="1"/>
    </row>
    <row r="450" spans="2:2" ht="14.25" customHeight="1" x14ac:dyDescent="0.25">
      <c r="B450" s="1"/>
    </row>
    <row r="451" spans="2:2" ht="14.25" customHeight="1" x14ac:dyDescent="0.25">
      <c r="B451" s="1"/>
    </row>
    <row r="452" spans="2:2" ht="14.25" customHeight="1" x14ac:dyDescent="0.25">
      <c r="B452" s="1"/>
    </row>
    <row r="453" spans="2:2" ht="14.25" customHeight="1" x14ac:dyDescent="0.25">
      <c r="B453" s="1"/>
    </row>
    <row r="454" spans="2:2" ht="14.25" customHeight="1" x14ac:dyDescent="0.25">
      <c r="B454" s="1"/>
    </row>
    <row r="455" spans="2:2" ht="14.25" customHeight="1" x14ac:dyDescent="0.25">
      <c r="B455" s="1"/>
    </row>
    <row r="456" spans="2:2" ht="14.25" customHeight="1" x14ac:dyDescent="0.25">
      <c r="B456" s="1"/>
    </row>
    <row r="457" spans="2:2" ht="14.25" customHeight="1" x14ac:dyDescent="0.25">
      <c r="B457" s="1"/>
    </row>
    <row r="458" spans="2:2" ht="14.25" customHeight="1" x14ac:dyDescent="0.25">
      <c r="B458" s="1"/>
    </row>
    <row r="459" spans="2:2" ht="14.25" customHeight="1" x14ac:dyDescent="0.25">
      <c r="B459" s="1"/>
    </row>
    <row r="460" spans="2:2" ht="14.25" customHeight="1" x14ac:dyDescent="0.25">
      <c r="B460" s="1"/>
    </row>
    <row r="461" spans="2:2" ht="14.25" customHeight="1" x14ac:dyDescent="0.25">
      <c r="B461" s="1"/>
    </row>
    <row r="462" spans="2:2" ht="14.25" customHeight="1" x14ac:dyDescent="0.25">
      <c r="B462" s="1"/>
    </row>
    <row r="463" spans="2:2" ht="14.25" customHeight="1" x14ac:dyDescent="0.25">
      <c r="B463" s="1"/>
    </row>
    <row r="464" spans="2:2" ht="14.25" customHeight="1" x14ac:dyDescent="0.25">
      <c r="B464" s="1"/>
    </row>
    <row r="465" spans="2:2" ht="14.25" customHeight="1" x14ac:dyDescent="0.25">
      <c r="B465" s="1"/>
    </row>
    <row r="466" spans="2:2" ht="14.25" customHeight="1" x14ac:dyDescent="0.25">
      <c r="B466" s="1"/>
    </row>
    <row r="467" spans="2:2" ht="14.25" customHeight="1" x14ac:dyDescent="0.25">
      <c r="B467" s="1"/>
    </row>
    <row r="468" spans="2:2" ht="14.25" customHeight="1" x14ac:dyDescent="0.25">
      <c r="B468" s="1"/>
    </row>
    <row r="469" spans="2:2" ht="14.25" customHeight="1" x14ac:dyDescent="0.25">
      <c r="B469" s="1"/>
    </row>
    <row r="470" spans="2:2" ht="14.25" customHeight="1" x14ac:dyDescent="0.25">
      <c r="B470" s="1"/>
    </row>
    <row r="471" spans="2:2" ht="14.25" customHeight="1" x14ac:dyDescent="0.25">
      <c r="B471" s="1"/>
    </row>
    <row r="472" spans="2:2" ht="14.25" customHeight="1" x14ac:dyDescent="0.25">
      <c r="B472" s="1"/>
    </row>
    <row r="473" spans="2:2" ht="14.25" customHeight="1" x14ac:dyDescent="0.25">
      <c r="B473" s="1"/>
    </row>
    <row r="474" spans="2:2" ht="14.25" customHeight="1" x14ac:dyDescent="0.25">
      <c r="B474" s="1"/>
    </row>
    <row r="475" spans="2:2" ht="14.25" customHeight="1" x14ac:dyDescent="0.25">
      <c r="B475" s="1"/>
    </row>
    <row r="476" spans="2:2" ht="14.25" customHeight="1" x14ac:dyDescent="0.25">
      <c r="B476" s="1"/>
    </row>
    <row r="477" spans="2:2" ht="14.25" customHeight="1" x14ac:dyDescent="0.25">
      <c r="B477" s="1"/>
    </row>
    <row r="478" spans="2:2" ht="14.25" customHeight="1" x14ac:dyDescent="0.25">
      <c r="B478" s="1"/>
    </row>
    <row r="479" spans="2:2" ht="14.25" customHeight="1" x14ac:dyDescent="0.25">
      <c r="B479" s="1"/>
    </row>
    <row r="480" spans="2:2" ht="14.25" customHeight="1" x14ac:dyDescent="0.25">
      <c r="B480" s="1"/>
    </row>
    <row r="481" spans="2:2" ht="14.25" customHeight="1" x14ac:dyDescent="0.25">
      <c r="B481" s="1"/>
    </row>
    <row r="482" spans="2:2" ht="14.25" customHeight="1" x14ac:dyDescent="0.25">
      <c r="B482" s="1"/>
    </row>
    <row r="483" spans="2:2" ht="14.25" customHeight="1" x14ac:dyDescent="0.25">
      <c r="B483" s="1"/>
    </row>
    <row r="484" spans="2:2" ht="14.25" customHeight="1" x14ac:dyDescent="0.25">
      <c r="B484" s="1"/>
    </row>
    <row r="485" spans="2:2" ht="14.25" customHeight="1" x14ac:dyDescent="0.25">
      <c r="B485" s="1"/>
    </row>
    <row r="486" spans="2:2" ht="14.25" customHeight="1" x14ac:dyDescent="0.25">
      <c r="B486" s="1"/>
    </row>
    <row r="487" spans="2:2" ht="14.25" customHeight="1" x14ac:dyDescent="0.25">
      <c r="B487" s="1"/>
    </row>
    <row r="488" spans="2:2" ht="14.25" customHeight="1" x14ac:dyDescent="0.25">
      <c r="B488" s="1"/>
    </row>
    <row r="489" spans="2:2" ht="14.25" customHeight="1" x14ac:dyDescent="0.25">
      <c r="B489" s="1"/>
    </row>
    <row r="490" spans="2:2" ht="14.25" customHeight="1" x14ac:dyDescent="0.25">
      <c r="B490" s="1"/>
    </row>
    <row r="491" spans="2:2" ht="14.25" customHeight="1" x14ac:dyDescent="0.25">
      <c r="B491" s="1"/>
    </row>
    <row r="492" spans="2:2" ht="14.25" customHeight="1" x14ac:dyDescent="0.25">
      <c r="B492" s="1"/>
    </row>
    <row r="493" spans="2:2" ht="14.25" customHeight="1" x14ac:dyDescent="0.25">
      <c r="B493" s="1"/>
    </row>
    <row r="494" spans="2:2" ht="14.25" customHeight="1" x14ac:dyDescent="0.25">
      <c r="B494" s="1"/>
    </row>
    <row r="495" spans="2:2" ht="14.25" customHeight="1" x14ac:dyDescent="0.25">
      <c r="B495" s="1"/>
    </row>
    <row r="496" spans="2:2" ht="14.25" customHeight="1" x14ac:dyDescent="0.25">
      <c r="B496" s="1"/>
    </row>
    <row r="497" spans="2:2" ht="14.25" customHeight="1" x14ac:dyDescent="0.25">
      <c r="B497" s="1"/>
    </row>
    <row r="498" spans="2:2" ht="14.25" customHeight="1" x14ac:dyDescent="0.25">
      <c r="B498" s="1"/>
    </row>
    <row r="499" spans="2:2" ht="14.25" customHeight="1" x14ac:dyDescent="0.25">
      <c r="B499" s="1"/>
    </row>
    <row r="500" spans="2:2" ht="14.25" customHeight="1" x14ac:dyDescent="0.25">
      <c r="B500" s="1"/>
    </row>
    <row r="501" spans="2:2" ht="14.25" customHeight="1" x14ac:dyDescent="0.25">
      <c r="B501" s="1"/>
    </row>
    <row r="502" spans="2:2" ht="14.25" customHeight="1" x14ac:dyDescent="0.25">
      <c r="B502" s="1"/>
    </row>
    <row r="503" spans="2:2" ht="14.25" customHeight="1" x14ac:dyDescent="0.25">
      <c r="B503" s="1"/>
    </row>
    <row r="504" spans="2:2" ht="14.25" customHeight="1" x14ac:dyDescent="0.25">
      <c r="B504" s="1"/>
    </row>
    <row r="505" spans="2:2" ht="14.25" customHeight="1" x14ac:dyDescent="0.25">
      <c r="B505" s="1"/>
    </row>
    <row r="506" spans="2:2" ht="14.25" customHeight="1" x14ac:dyDescent="0.25">
      <c r="B506" s="1"/>
    </row>
    <row r="507" spans="2:2" ht="14.25" customHeight="1" x14ac:dyDescent="0.25">
      <c r="B507" s="1"/>
    </row>
    <row r="508" spans="2:2" ht="14.25" customHeight="1" x14ac:dyDescent="0.25">
      <c r="B508" s="1"/>
    </row>
    <row r="509" spans="2:2" ht="14.25" customHeight="1" x14ac:dyDescent="0.25">
      <c r="B509" s="1"/>
    </row>
    <row r="510" spans="2:2" ht="14.25" customHeight="1" x14ac:dyDescent="0.25">
      <c r="B510" s="1"/>
    </row>
    <row r="511" spans="2:2" ht="14.25" customHeight="1" x14ac:dyDescent="0.25">
      <c r="B511" s="1"/>
    </row>
    <row r="512" spans="2:2" ht="14.25" customHeight="1" x14ac:dyDescent="0.25">
      <c r="B512" s="1"/>
    </row>
    <row r="513" spans="2:2" ht="14.25" customHeight="1" x14ac:dyDescent="0.25">
      <c r="B513" s="1"/>
    </row>
    <row r="514" spans="2:2" ht="14.25" customHeight="1" x14ac:dyDescent="0.25">
      <c r="B514" s="1"/>
    </row>
    <row r="515" spans="2:2" ht="14.25" customHeight="1" x14ac:dyDescent="0.25">
      <c r="B515" s="1"/>
    </row>
    <row r="516" spans="2:2" ht="14.25" customHeight="1" x14ac:dyDescent="0.25">
      <c r="B516" s="1"/>
    </row>
    <row r="517" spans="2:2" ht="14.25" customHeight="1" x14ac:dyDescent="0.25">
      <c r="B517" s="1"/>
    </row>
    <row r="518" spans="2:2" ht="14.25" customHeight="1" x14ac:dyDescent="0.25">
      <c r="B518" s="1"/>
    </row>
    <row r="519" spans="2:2" ht="14.25" customHeight="1" x14ac:dyDescent="0.25">
      <c r="B519" s="1"/>
    </row>
    <row r="520" spans="2:2" ht="14.25" customHeight="1" x14ac:dyDescent="0.25">
      <c r="B520" s="1"/>
    </row>
    <row r="521" spans="2:2" ht="14.25" customHeight="1" x14ac:dyDescent="0.25">
      <c r="B521" s="1"/>
    </row>
    <row r="522" spans="2:2" ht="14.25" customHeight="1" x14ac:dyDescent="0.25">
      <c r="B522" s="1"/>
    </row>
    <row r="523" spans="2:2" ht="14.25" customHeight="1" x14ac:dyDescent="0.25">
      <c r="B523" s="1"/>
    </row>
    <row r="524" spans="2:2" ht="14.25" customHeight="1" x14ac:dyDescent="0.25">
      <c r="B524" s="1"/>
    </row>
    <row r="525" spans="2:2" ht="14.25" customHeight="1" x14ac:dyDescent="0.25">
      <c r="B525" s="1"/>
    </row>
    <row r="526" spans="2:2" ht="14.25" customHeight="1" x14ac:dyDescent="0.25">
      <c r="B526" s="1"/>
    </row>
    <row r="527" spans="2:2" ht="14.25" customHeight="1" x14ac:dyDescent="0.25">
      <c r="B527" s="1"/>
    </row>
    <row r="528" spans="2:2" ht="14.25" customHeight="1" x14ac:dyDescent="0.25">
      <c r="B528" s="1"/>
    </row>
    <row r="529" spans="2:2" ht="14.25" customHeight="1" x14ac:dyDescent="0.25">
      <c r="B529" s="1"/>
    </row>
    <row r="530" spans="2:2" ht="14.25" customHeight="1" x14ac:dyDescent="0.25">
      <c r="B530" s="1"/>
    </row>
    <row r="531" spans="2:2" ht="14.25" customHeight="1" x14ac:dyDescent="0.25">
      <c r="B531" s="1"/>
    </row>
    <row r="532" spans="2:2" ht="14.25" customHeight="1" x14ac:dyDescent="0.25">
      <c r="B532" s="1"/>
    </row>
    <row r="533" spans="2:2" ht="14.25" customHeight="1" x14ac:dyDescent="0.25">
      <c r="B533" s="1"/>
    </row>
    <row r="534" spans="2:2" ht="14.25" customHeight="1" x14ac:dyDescent="0.25">
      <c r="B534" s="1"/>
    </row>
    <row r="535" spans="2:2" ht="14.25" customHeight="1" x14ac:dyDescent="0.25">
      <c r="B535" s="1"/>
    </row>
    <row r="536" spans="2:2" ht="14.25" customHeight="1" x14ac:dyDescent="0.25">
      <c r="B536" s="1"/>
    </row>
    <row r="537" spans="2:2" ht="14.25" customHeight="1" x14ac:dyDescent="0.25">
      <c r="B537" s="1"/>
    </row>
    <row r="538" spans="2:2" ht="14.25" customHeight="1" x14ac:dyDescent="0.25">
      <c r="B538" s="1"/>
    </row>
    <row r="539" spans="2:2" ht="14.25" customHeight="1" x14ac:dyDescent="0.25">
      <c r="B539" s="1"/>
    </row>
    <row r="540" spans="2:2" ht="14.25" customHeight="1" x14ac:dyDescent="0.25">
      <c r="B540" s="1"/>
    </row>
    <row r="541" spans="2:2" ht="14.25" customHeight="1" x14ac:dyDescent="0.25">
      <c r="B541" s="1"/>
    </row>
    <row r="542" spans="2:2" ht="14.25" customHeight="1" x14ac:dyDescent="0.25">
      <c r="B542" s="1"/>
    </row>
    <row r="543" spans="2:2" ht="14.25" customHeight="1" x14ac:dyDescent="0.25">
      <c r="B543" s="1"/>
    </row>
    <row r="544" spans="2:2" ht="14.25" customHeight="1" x14ac:dyDescent="0.25">
      <c r="B544" s="1"/>
    </row>
    <row r="545" spans="2:2" ht="14.25" customHeight="1" x14ac:dyDescent="0.25">
      <c r="B545" s="1"/>
    </row>
    <row r="546" spans="2:2" ht="14.25" customHeight="1" x14ac:dyDescent="0.25">
      <c r="B546" s="1"/>
    </row>
    <row r="547" spans="2:2" ht="14.25" customHeight="1" x14ac:dyDescent="0.25">
      <c r="B547" s="1"/>
    </row>
    <row r="548" spans="2:2" ht="14.25" customHeight="1" x14ac:dyDescent="0.25">
      <c r="B548" s="1"/>
    </row>
    <row r="549" spans="2:2" ht="14.25" customHeight="1" x14ac:dyDescent="0.25">
      <c r="B549" s="1"/>
    </row>
    <row r="550" spans="2:2" ht="14.25" customHeight="1" x14ac:dyDescent="0.25">
      <c r="B550" s="1"/>
    </row>
    <row r="551" spans="2:2" ht="14.25" customHeight="1" x14ac:dyDescent="0.25">
      <c r="B551" s="1"/>
    </row>
    <row r="552" spans="2:2" ht="14.25" customHeight="1" x14ac:dyDescent="0.25">
      <c r="B552" s="1"/>
    </row>
    <row r="553" spans="2:2" ht="14.25" customHeight="1" x14ac:dyDescent="0.25">
      <c r="B553" s="1"/>
    </row>
    <row r="554" spans="2:2" ht="14.25" customHeight="1" x14ac:dyDescent="0.25">
      <c r="B554" s="1"/>
    </row>
    <row r="555" spans="2:2" ht="14.25" customHeight="1" x14ac:dyDescent="0.25">
      <c r="B555" s="1"/>
    </row>
    <row r="556" spans="2:2" ht="14.25" customHeight="1" x14ac:dyDescent="0.25">
      <c r="B556" s="1"/>
    </row>
    <row r="557" spans="2:2" ht="14.25" customHeight="1" x14ac:dyDescent="0.25">
      <c r="B557" s="1"/>
    </row>
    <row r="558" spans="2:2" ht="14.25" customHeight="1" x14ac:dyDescent="0.25">
      <c r="B558" s="1"/>
    </row>
    <row r="559" spans="2:2" ht="14.25" customHeight="1" x14ac:dyDescent="0.25">
      <c r="B559" s="1"/>
    </row>
    <row r="560" spans="2:2" ht="14.25" customHeight="1" x14ac:dyDescent="0.25">
      <c r="B560" s="1"/>
    </row>
    <row r="561" spans="2:2" ht="14.25" customHeight="1" x14ac:dyDescent="0.25">
      <c r="B561" s="1"/>
    </row>
    <row r="562" spans="2:2" ht="14.25" customHeight="1" x14ac:dyDescent="0.25">
      <c r="B562" s="1"/>
    </row>
    <row r="563" spans="2:2" ht="14.25" customHeight="1" x14ac:dyDescent="0.25">
      <c r="B563" s="1"/>
    </row>
    <row r="564" spans="2:2" ht="14.25" customHeight="1" x14ac:dyDescent="0.25">
      <c r="B564" s="1"/>
    </row>
    <row r="565" spans="2:2" ht="14.25" customHeight="1" x14ac:dyDescent="0.25">
      <c r="B565" s="1"/>
    </row>
    <row r="566" spans="2:2" ht="14.25" customHeight="1" x14ac:dyDescent="0.25">
      <c r="B566" s="1"/>
    </row>
    <row r="567" spans="2:2" ht="14.25" customHeight="1" x14ac:dyDescent="0.25">
      <c r="B567" s="1"/>
    </row>
    <row r="568" spans="2:2" ht="14.25" customHeight="1" x14ac:dyDescent="0.25">
      <c r="B568" s="1"/>
    </row>
    <row r="569" spans="2:2" ht="14.25" customHeight="1" x14ac:dyDescent="0.25">
      <c r="B569" s="1"/>
    </row>
    <row r="570" spans="2:2" ht="14.25" customHeight="1" x14ac:dyDescent="0.25">
      <c r="B570" s="1"/>
    </row>
    <row r="571" spans="2:2" ht="14.25" customHeight="1" x14ac:dyDescent="0.25">
      <c r="B571" s="1"/>
    </row>
    <row r="572" spans="2:2" ht="14.25" customHeight="1" x14ac:dyDescent="0.25">
      <c r="B572" s="1"/>
    </row>
    <row r="573" spans="2:2" ht="14.25" customHeight="1" x14ac:dyDescent="0.25">
      <c r="B573" s="1"/>
    </row>
    <row r="574" spans="2:2" ht="14.25" customHeight="1" x14ac:dyDescent="0.25">
      <c r="B574" s="1"/>
    </row>
    <row r="575" spans="2:2" ht="14.25" customHeight="1" x14ac:dyDescent="0.25">
      <c r="B575" s="1"/>
    </row>
    <row r="576" spans="2:2" ht="14.25" customHeight="1" x14ac:dyDescent="0.25">
      <c r="B576" s="1"/>
    </row>
    <row r="577" spans="2:2" ht="14.25" customHeight="1" x14ac:dyDescent="0.25">
      <c r="B577" s="1"/>
    </row>
    <row r="578" spans="2:2" ht="14.25" customHeight="1" x14ac:dyDescent="0.25">
      <c r="B578" s="1"/>
    </row>
    <row r="579" spans="2:2" ht="14.25" customHeight="1" x14ac:dyDescent="0.25">
      <c r="B579" s="1"/>
    </row>
    <row r="580" spans="2:2" ht="14.25" customHeight="1" x14ac:dyDescent="0.25">
      <c r="B580" s="1"/>
    </row>
    <row r="581" spans="2:2" ht="14.25" customHeight="1" x14ac:dyDescent="0.25">
      <c r="B581" s="1"/>
    </row>
    <row r="582" spans="2:2" ht="14.25" customHeight="1" x14ac:dyDescent="0.25">
      <c r="B582" s="1"/>
    </row>
    <row r="583" spans="2:2" ht="14.25" customHeight="1" x14ac:dyDescent="0.25">
      <c r="B583" s="1"/>
    </row>
    <row r="584" spans="2:2" ht="14.25" customHeight="1" x14ac:dyDescent="0.25">
      <c r="B584" s="1"/>
    </row>
    <row r="585" spans="2:2" ht="14.25" customHeight="1" x14ac:dyDescent="0.25">
      <c r="B585" s="1"/>
    </row>
    <row r="586" spans="2:2" ht="14.25" customHeight="1" x14ac:dyDescent="0.25">
      <c r="B586" s="1"/>
    </row>
    <row r="587" spans="2:2" ht="14.25" customHeight="1" x14ac:dyDescent="0.25">
      <c r="B587" s="1"/>
    </row>
    <row r="588" spans="2:2" ht="14.25" customHeight="1" x14ac:dyDescent="0.25">
      <c r="B588" s="1"/>
    </row>
    <row r="589" spans="2:2" ht="14.25" customHeight="1" x14ac:dyDescent="0.25">
      <c r="B589" s="1"/>
    </row>
    <row r="590" spans="2:2" ht="14.25" customHeight="1" x14ac:dyDescent="0.25">
      <c r="B590" s="1"/>
    </row>
    <row r="591" spans="2:2" ht="14.25" customHeight="1" x14ac:dyDescent="0.25">
      <c r="B591" s="1"/>
    </row>
    <row r="592" spans="2:2" ht="14.25" customHeight="1" x14ac:dyDescent="0.25">
      <c r="B592" s="1"/>
    </row>
    <row r="593" spans="2:2" ht="14.25" customHeight="1" x14ac:dyDescent="0.25">
      <c r="B593" s="1"/>
    </row>
    <row r="594" spans="2:2" ht="14.25" customHeight="1" x14ac:dyDescent="0.25">
      <c r="B594" s="1"/>
    </row>
    <row r="595" spans="2:2" ht="14.25" customHeight="1" x14ac:dyDescent="0.25">
      <c r="B595" s="1"/>
    </row>
    <row r="596" spans="2:2" ht="14.25" customHeight="1" x14ac:dyDescent="0.25">
      <c r="B596" s="1"/>
    </row>
    <row r="597" spans="2:2" ht="14.25" customHeight="1" x14ac:dyDescent="0.25">
      <c r="B597" s="1"/>
    </row>
    <row r="598" spans="2:2" ht="14.25" customHeight="1" x14ac:dyDescent="0.25">
      <c r="B598" s="1"/>
    </row>
    <row r="599" spans="2:2" ht="14.25" customHeight="1" x14ac:dyDescent="0.25">
      <c r="B599" s="1"/>
    </row>
    <row r="600" spans="2:2" ht="14.25" customHeight="1" x14ac:dyDescent="0.25">
      <c r="B600" s="1"/>
    </row>
    <row r="601" spans="2:2" ht="14.25" customHeight="1" x14ac:dyDescent="0.25">
      <c r="B601" s="1"/>
    </row>
    <row r="602" spans="2:2" ht="14.25" customHeight="1" x14ac:dyDescent="0.25">
      <c r="B602" s="1"/>
    </row>
    <row r="603" spans="2:2" ht="14.25" customHeight="1" x14ac:dyDescent="0.25">
      <c r="B603" s="1"/>
    </row>
    <row r="604" spans="2:2" ht="14.25" customHeight="1" x14ac:dyDescent="0.25">
      <c r="B604" s="1"/>
    </row>
    <row r="605" spans="2:2" ht="14.25" customHeight="1" x14ac:dyDescent="0.25">
      <c r="B605" s="1"/>
    </row>
    <row r="606" spans="2:2" ht="14.25" customHeight="1" x14ac:dyDescent="0.25">
      <c r="B606" s="1"/>
    </row>
    <row r="607" spans="2:2" ht="14.25" customHeight="1" x14ac:dyDescent="0.25">
      <c r="B607" s="1"/>
    </row>
    <row r="608" spans="2:2" ht="14.25" customHeight="1" x14ac:dyDescent="0.25">
      <c r="B608" s="1"/>
    </row>
    <row r="609" spans="2:2" ht="14.25" customHeight="1" x14ac:dyDescent="0.25">
      <c r="B609" s="1"/>
    </row>
    <row r="610" spans="2:2" ht="14.25" customHeight="1" x14ac:dyDescent="0.25">
      <c r="B610" s="1"/>
    </row>
    <row r="611" spans="2:2" ht="14.25" customHeight="1" x14ac:dyDescent="0.25">
      <c r="B611" s="1"/>
    </row>
    <row r="612" spans="2:2" ht="14.25" customHeight="1" x14ac:dyDescent="0.25">
      <c r="B612" s="1"/>
    </row>
    <row r="613" spans="2:2" ht="14.25" customHeight="1" x14ac:dyDescent="0.25">
      <c r="B613" s="1"/>
    </row>
    <row r="614" spans="2:2" ht="14.25" customHeight="1" x14ac:dyDescent="0.25">
      <c r="B614" s="1"/>
    </row>
    <row r="615" spans="2:2" ht="14.25" customHeight="1" x14ac:dyDescent="0.25">
      <c r="B615" s="1"/>
    </row>
    <row r="616" spans="2:2" ht="14.25" customHeight="1" x14ac:dyDescent="0.25">
      <c r="B616" s="1"/>
    </row>
    <row r="617" spans="2:2" ht="14.25" customHeight="1" x14ac:dyDescent="0.25">
      <c r="B617" s="1"/>
    </row>
    <row r="618" spans="2:2" ht="14.25" customHeight="1" x14ac:dyDescent="0.25">
      <c r="B618" s="1"/>
    </row>
    <row r="619" spans="2:2" ht="14.25" customHeight="1" x14ac:dyDescent="0.25">
      <c r="B619" s="1"/>
    </row>
    <row r="620" spans="2:2" ht="14.25" customHeight="1" x14ac:dyDescent="0.25">
      <c r="B620" s="1"/>
    </row>
    <row r="621" spans="2:2" ht="14.25" customHeight="1" x14ac:dyDescent="0.25">
      <c r="B621" s="1"/>
    </row>
    <row r="622" spans="2:2" ht="14.25" customHeight="1" x14ac:dyDescent="0.25">
      <c r="B622" s="1"/>
    </row>
    <row r="623" spans="2:2" ht="14.25" customHeight="1" x14ac:dyDescent="0.25">
      <c r="B623" s="1"/>
    </row>
    <row r="624" spans="2:2" ht="14.25" customHeight="1" x14ac:dyDescent="0.25">
      <c r="B624" s="1"/>
    </row>
    <row r="625" spans="2:2" ht="14.25" customHeight="1" x14ac:dyDescent="0.25">
      <c r="B625" s="1"/>
    </row>
    <row r="626" spans="2:2" ht="14.25" customHeight="1" x14ac:dyDescent="0.25">
      <c r="B626" s="1"/>
    </row>
    <row r="627" spans="2:2" ht="14.25" customHeight="1" x14ac:dyDescent="0.25">
      <c r="B627" s="1"/>
    </row>
    <row r="628" spans="2:2" ht="14.25" customHeight="1" x14ac:dyDescent="0.25">
      <c r="B628" s="1"/>
    </row>
    <row r="629" spans="2:2" ht="14.25" customHeight="1" x14ac:dyDescent="0.25">
      <c r="B629" s="1"/>
    </row>
    <row r="630" spans="2:2" ht="14.25" customHeight="1" x14ac:dyDescent="0.25">
      <c r="B630" s="1"/>
    </row>
    <row r="631" spans="2:2" ht="14.25" customHeight="1" x14ac:dyDescent="0.25">
      <c r="B631" s="1"/>
    </row>
    <row r="632" spans="2:2" ht="14.25" customHeight="1" x14ac:dyDescent="0.25">
      <c r="B632" s="1"/>
    </row>
    <row r="633" spans="2:2" ht="14.25" customHeight="1" x14ac:dyDescent="0.25">
      <c r="B633" s="1"/>
    </row>
    <row r="634" spans="2:2" ht="14.25" customHeight="1" x14ac:dyDescent="0.25">
      <c r="B634" s="1"/>
    </row>
    <row r="635" spans="2:2" ht="14.25" customHeight="1" x14ac:dyDescent="0.25">
      <c r="B635" s="1"/>
    </row>
    <row r="636" spans="2:2" ht="14.25" customHeight="1" x14ac:dyDescent="0.25">
      <c r="B636" s="1"/>
    </row>
    <row r="637" spans="2:2" ht="14.25" customHeight="1" x14ac:dyDescent="0.25">
      <c r="B637" s="1"/>
    </row>
    <row r="638" spans="2:2" ht="14.25" customHeight="1" x14ac:dyDescent="0.25">
      <c r="B638" s="1"/>
    </row>
    <row r="639" spans="2:2" ht="14.25" customHeight="1" x14ac:dyDescent="0.25">
      <c r="B639" s="1"/>
    </row>
    <row r="640" spans="2:2" ht="14.25" customHeight="1" x14ac:dyDescent="0.25">
      <c r="B640" s="1"/>
    </row>
    <row r="641" spans="2:2" ht="14.25" customHeight="1" x14ac:dyDescent="0.25">
      <c r="B641" s="1"/>
    </row>
    <row r="642" spans="2:2" ht="14.25" customHeight="1" x14ac:dyDescent="0.25">
      <c r="B642" s="1"/>
    </row>
    <row r="643" spans="2:2" ht="14.25" customHeight="1" x14ac:dyDescent="0.25">
      <c r="B643" s="1"/>
    </row>
    <row r="644" spans="2:2" ht="14.25" customHeight="1" x14ac:dyDescent="0.25">
      <c r="B644" s="1"/>
    </row>
    <row r="645" spans="2:2" ht="14.25" customHeight="1" x14ac:dyDescent="0.25">
      <c r="B645" s="1"/>
    </row>
    <row r="646" spans="2:2" ht="14.25" customHeight="1" x14ac:dyDescent="0.25">
      <c r="B646" s="1"/>
    </row>
    <row r="647" spans="2:2" ht="14.25" customHeight="1" x14ac:dyDescent="0.25">
      <c r="B647" s="1"/>
    </row>
    <row r="648" spans="2:2" ht="14.25" customHeight="1" x14ac:dyDescent="0.25">
      <c r="B648" s="1"/>
    </row>
    <row r="649" spans="2:2" ht="14.25" customHeight="1" x14ac:dyDescent="0.25">
      <c r="B649" s="1"/>
    </row>
    <row r="650" spans="2:2" ht="14.25" customHeight="1" x14ac:dyDescent="0.25">
      <c r="B650" s="1"/>
    </row>
    <row r="651" spans="2:2" ht="14.25" customHeight="1" x14ac:dyDescent="0.25">
      <c r="B651" s="1"/>
    </row>
    <row r="652" spans="2:2" ht="14.25" customHeight="1" x14ac:dyDescent="0.25">
      <c r="B652" s="1"/>
    </row>
    <row r="653" spans="2:2" ht="14.25" customHeight="1" x14ac:dyDescent="0.25">
      <c r="B653" s="1"/>
    </row>
    <row r="654" spans="2:2" ht="14.25" customHeight="1" x14ac:dyDescent="0.25">
      <c r="B654" s="1"/>
    </row>
    <row r="655" spans="2:2" ht="14.25" customHeight="1" x14ac:dyDescent="0.25">
      <c r="B655" s="1"/>
    </row>
    <row r="656" spans="2:2" ht="14.25" customHeight="1" x14ac:dyDescent="0.25">
      <c r="B656" s="1"/>
    </row>
    <row r="657" spans="2:2" ht="14.25" customHeight="1" x14ac:dyDescent="0.25">
      <c r="B657" s="1"/>
    </row>
    <row r="658" spans="2:2" ht="14.25" customHeight="1" x14ac:dyDescent="0.25">
      <c r="B658" s="1"/>
    </row>
    <row r="659" spans="2:2" ht="14.25" customHeight="1" x14ac:dyDescent="0.25">
      <c r="B659" s="1"/>
    </row>
    <row r="660" spans="2:2" ht="14.25" customHeight="1" x14ac:dyDescent="0.25">
      <c r="B660" s="1"/>
    </row>
    <row r="661" spans="2:2" ht="14.25" customHeight="1" x14ac:dyDescent="0.25">
      <c r="B661" s="1"/>
    </row>
    <row r="662" spans="2:2" ht="14.25" customHeight="1" x14ac:dyDescent="0.25">
      <c r="B662" s="1"/>
    </row>
    <row r="663" spans="2:2" ht="14.25" customHeight="1" x14ac:dyDescent="0.25">
      <c r="B663" s="1"/>
    </row>
    <row r="664" spans="2:2" ht="14.25" customHeight="1" x14ac:dyDescent="0.25">
      <c r="B664" s="1"/>
    </row>
    <row r="665" spans="2:2" ht="14.25" customHeight="1" x14ac:dyDescent="0.25">
      <c r="B665" s="1"/>
    </row>
    <row r="666" spans="2:2" ht="14.25" customHeight="1" x14ac:dyDescent="0.25">
      <c r="B666" s="1"/>
    </row>
    <row r="667" spans="2:2" ht="14.25" customHeight="1" x14ac:dyDescent="0.25">
      <c r="B667" s="1"/>
    </row>
    <row r="668" spans="2:2" ht="14.25" customHeight="1" x14ac:dyDescent="0.25">
      <c r="B668" s="1"/>
    </row>
    <row r="669" spans="2:2" ht="14.25" customHeight="1" x14ac:dyDescent="0.25">
      <c r="B669" s="1"/>
    </row>
    <row r="670" spans="2:2" ht="14.25" customHeight="1" x14ac:dyDescent="0.25">
      <c r="B670" s="1"/>
    </row>
    <row r="671" spans="2:2" ht="14.25" customHeight="1" x14ac:dyDescent="0.25">
      <c r="B671" s="1"/>
    </row>
    <row r="672" spans="2:2" ht="14.25" customHeight="1" x14ac:dyDescent="0.25">
      <c r="B672" s="1"/>
    </row>
    <row r="673" spans="2:2" ht="14.25" customHeight="1" x14ac:dyDescent="0.25">
      <c r="B673" s="1"/>
    </row>
    <row r="674" spans="2:2" ht="14.25" customHeight="1" x14ac:dyDescent="0.25">
      <c r="B674" s="1"/>
    </row>
    <row r="675" spans="2:2" ht="14.25" customHeight="1" x14ac:dyDescent="0.25">
      <c r="B675" s="1"/>
    </row>
    <row r="676" spans="2:2" ht="14.25" customHeight="1" x14ac:dyDescent="0.25">
      <c r="B676" s="1"/>
    </row>
    <row r="677" spans="2:2" ht="14.25" customHeight="1" x14ac:dyDescent="0.25">
      <c r="B677" s="1"/>
    </row>
    <row r="678" spans="2:2" ht="14.25" customHeight="1" x14ac:dyDescent="0.25">
      <c r="B678" s="1"/>
    </row>
    <row r="679" spans="2:2" ht="14.25" customHeight="1" x14ac:dyDescent="0.25">
      <c r="B679" s="1"/>
    </row>
    <row r="680" spans="2:2" ht="14.25" customHeight="1" x14ac:dyDescent="0.25">
      <c r="B680" s="1"/>
    </row>
    <row r="681" spans="2:2" ht="14.25" customHeight="1" x14ac:dyDescent="0.25">
      <c r="B681" s="1"/>
    </row>
    <row r="682" spans="2:2" ht="14.25" customHeight="1" x14ac:dyDescent="0.25">
      <c r="B682" s="1"/>
    </row>
    <row r="683" spans="2:2" ht="14.25" customHeight="1" x14ac:dyDescent="0.25">
      <c r="B683" s="1"/>
    </row>
    <row r="684" spans="2:2" ht="14.25" customHeight="1" x14ac:dyDescent="0.25">
      <c r="B684" s="1"/>
    </row>
    <row r="685" spans="2:2" ht="14.25" customHeight="1" x14ac:dyDescent="0.25">
      <c r="B685" s="1"/>
    </row>
    <row r="686" spans="2:2" ht="14.25" customHeight="1" x14ac:dyDescent="0.25">
      <c r="B686" s="1"/>
    </row>
    <row r="687" spans="2:2" ht="14.25" customHeight="1" x14ac:dyDescent="0.25">
      <c r="B687" s="1"/>
    </row>
    <row r="688" spans="2:2" ht="14.25" customHeight="1" x14ac:dyDescent="0.25">
      <c r="B688" s="1"/>
    </row>
    <row r="689" spans="2:2" ht="14.25" customHeight="1" x14ac:dyDescent="0.25">
      <c r="B689" s="1"/>
    </row>
    <row r="690" spans="2:2" ht="14.25" customHeight="1" x14ac:dyDescent="0.25">
      <c r="B690" s="1"/>
    </row>
    <row r="691" spans="2:2" ht="14.25" customHeight="1" x14ac:dyDescent="0.25">
      <c r="B691" s="1"/>
    </row>
    <row r="692" spans="2:2" ht="14.25" customHeight="1" x14ac:dyDescent="0.25">
      <c r="B692" s="1"/>
    </row>
    <row r="693" spans="2:2" ht="14.25" customHeight="1" x14ac:dyDescent="0.25">
      <c r="B693" s="1"/>
    </row>
    <row r="694" spans="2:2" ht="14.25" customHeight="1" x14ac:dyDescent="0.25">
      <c r="B694" s="1"/>
    </row>
    <row r="695" spans="2:2" ht="14.25" customHeight="1" x14ac:dyDescent="0.25">
      <c r="B695" s="1"/>
    </row>
    <row r="696" spans="2:2" ht="14.25" customHeight="1" x14ac:dyDescent="0.25">
      <c r="B696" s="1"/>
    </row>
    <row r="697" spans="2:2" ht="14.25" customHeight="1" x14ac:dyDescent="0.25">
      <c r="B697" s="1"/>
    </row>
    <row r="698" spans="2:2" ht="14.25" customHeight="1" x14ac:dyDescent="0.25">
      <c r="B698" s="1"/>
    </row>
    <row r="699" spans="2:2" ht="14.25" customHeight="1" x14ac:dyDescent="0.25">
      <c r="B699" s="1"/>
    </row>
    <row r="700" spans="2:2" ht="14.25" customHeight="1" x14ac:dyDescent="0.25">
      <c r="B700" s="1"/>
    </row>
    <row r="701" spans="2:2" ht="14.25" customHeight="1" x14ac:dyDescent="0.25">
      <c r="B701" s="1"/>
    </row>
    <row r="702" spans="2:2" ht="14.25" customHeight="1" x14ac:dyDescent="0.25">
      <c r="B702" s="1"/>
    </row>
    <row r="703" spans="2:2" ht="14.25" customHeight="1" x14ac:dyDescent="0.25">
      <c r="B703" s="1"/>
    </row>
    <row r="704" spans="2:2" ht="14.25" customHeight="1" x14ac:dyDescent="0.25">
      <c r="B704" s="1"/>
    </row>
    <row r="705" spans="2:2" ht="14.25" customHeight="1" x14ac:dyDescent="0.25">
      <c r="B705" s="1"/>
    </row>
    <row r="706" spans="2:2" ht="14.25" customHeight="1" x14ac:dyDescent="0.25">
      <c r="B706" s="1"/>
    </row>
    <row r="707" spans="2:2" ht="14.25" customHeight="1" x14ac:dyDescent="0.25">
      <c r="B707" s="1"/>
    </row>
    <row r="708" spans="2:2" ht="14.25" customHeight="1" x14ac:dyDescent="0.25">
      <c r="B708" s="1"/>
    </row>
    <row r="709" spans="2:2" ht="14.25" customHeight="1" x14ac:dyDescent="0.25">
      <c r="B709" s="1"/>
    </row>
    <row r="710" spans="2:2" ht="14.25" customHeight="1" x14ac:dyDescent="0.25">
      <c r="B710" s="1"/>
    </row>
    <row r="711" spans="2:2" ht="14.25" customHeight="1" x14ac:dyDescent="0.25">
      <c r="B711" s="1"/>
    </row>
    <row r="712" spans="2:2" ht="14.25" customHeight="1" x14ac:dyDescent="0.25">
      <c r="B712" s="1"/>
    </row>
    <row r="713" spans="2:2" ht="14.25" customHeight="1" x14ac:dyDescent="0.25">
      <c r="B713" s="1"/>
    </row>
    <row r="714" spans="2:2" ht="14.25" customHeight="1" x14ac:dyDescent="0.25">
      <c r="B714" s="1"/>
    </row>
    <row r="715" spans="2:2" ht="14.25" customHeight="1" x14ac:dyDescent="0.25">
      <c r="B715" s="1"/>
    </row>
    <row r="716" spans="2:2" ht="14.25" customHeight="1" x14ac:dyDescent="0.25">
      <c r="B716" s="1"/>
    </row>
    <row r="717" spans="2:2" ht="14.25" customHeight="1" x14ac:dyDescent="0.25">
      <c r="B717" s="1"/>
    </row>
    <row r="718" spans="2:2" ht="14.25" customHeight="1" x14ac:dyDescent="0.25">
      <c r="B718" s="1"/>
    </row>
    <row r="719" spans="2:2" ht="14.25" customHeight="1" x14ac:dyDescent="0.25">
      <c r="B719" s="1"/>
    </row>
    <row r="720" spans="2:2" ht="14.25" customHeight="1" x14ac:dyDescent="0.25">
      <c r="B720" s="1"/>
    </row>
    <row r="721" spans="2:2" ht="14.25" customHeight="1" x14ac:dyDescent="0.25">
      <c r="B721" s="1"/>
    </row>
    <row r="722" spans="2:2" ht="14.25" customHeight="1" x14ac:dyDescent="0.25">
      <c r="B722" s="1"/>
    </row>
    <row r="723" spans="2:2" ht="14.25" customHeight="1" x14ac:dyDescent="0.25">
      <c r="B723" s="1"/>
    </row>
    <row r="724" spans="2:2" ht="14.25" customHeight="1" x14ac:dyDescent="0.25">
      <c r="B724" s="1"/>
    </row>
    <row r="725" spans="2:2" ht="14.25" customHeight="1" x14ac:dyDescent="0.25">
      <c r="B725" s="1"/>
    </row>
    <row r="726" spans="2:2" ht="14.25" customHeight="1" x14ac:dyDescent="0.25">
      <c r="B726" s="1"/>
    </row>
    <row r="727" spans="2:2" ht="14.25" customHeight="1" x14ac:dyDescent="0.25">
      <c r="B727" s="1"/>
    </row>
    <row r="728" spans="2:2" ht="14.25" customHeight="1" x14ac:dyDescent="0.25">
      <c r="B728" s="1"/>
    </row>
    <row r="729" spans="2:2" ht="14.25" customHeight="1" x14ac:dyDescent="0.25">
      <c r="B729" s="1"/>
    </row>
    <row r="730" spans="2:2" ht="14.25" customHeight="1" x14ac:dyDescent="0.25">
      <c r="B730" s="1"/>
    </row>
    <row r="731" spans="2:2" ht="14.25" customHeight="1" x14ac:dyDescent="0.25">
      <c r="B731" s="1"/>
    </row>
    <row r="732" spans="2:2" ht="14.25" customHeight="1" x14ac:dyDescent="0.25">
      <c r="B732" s="1"/>
    </row>
    <row r="733" spans="2:2" ht="14.25" customHeight="1" x14ac:dyDescent="0.25">
      <c r="B733" s="1"/>
    </row>
    <row r="734" spans="2:2" ht="14.25" customHeight="1" x14ac:dyDescent="0.25">
      <c r="B734" s="1"/>
    </row>
    <row r="735" spans="2:2" ht="14.25" customHeight="1" x14ac:dyDescent="0.25">
      <c r="B735" s="1"/>
    </row>
    <row r="736" spans="2:2" ht="14.25" customHeight="1" x14ac:dyDescent="0.25">
      <c r="B736" s="1"/>
    </row>
    <row r="737" spans="2:2" ht="14.25" customHeight="1" x14ac:dyDescent="0.25">
      <c r="B737" s="1"/>
    </row>
    <row r="738" spans="2:2" ht="14.25" customHeight="1" x14ac:dyDescent="0.25">
      <c r="B738" s="1"/>
    </row>
    <row r="739" spans="2:2" ht="14.25" customHeight="1" x14ac:dyDescent="0.25">
      <c r="B739" s="1"/>
    </row>
    <row r="740" spans="2:2" ht="14.25" customHeight="1" x14ac:dyDescent="0.25">
      <c r="B740" s="1"/>
    </row>
    <row r="741" spans="2:2" ht="14.25" customHeight="1" x14ac:dyDescent="0.25">
      <c r="B741" s="1"/>
    </row>
    <row r="742" spans="2:2" ht="14.25" customHeight="1" x14ac:dyDescent="0.25">
      <c r="B742" s="1"/>
    </row>
    <row r="743" spans="2:2" ht="14.25" customHeight="1" x14ac:dyDescent="0.25">
      <c r="B743" s="1"/>
    </row>
    <row r="744" spans="2:2" ht="14.25" customHeight="1" x14ac:dyDescent="0.25">
      <c r="B744" s="1"/>
    </row>
    <row r="745" spans="2:2" ht="14.25" customHeight="1" x14ac:dyDescent="0.25">
      <c r="B745" s="1"/>
    </row>
    <row r="746" spans="2:2" ht="14.25" customHeight="1" x14ac:dyDescent="0.25">
      <c r="B746" s="1"/>
    </row>
    <row r="747" spans="2:2" ht="14.25" customHeight="1" x14ac:dyDescent="0.25">
      <c r="B747" s="1"/>
    </row>
    <row r="748" spans="2:2" ht="14.25" customHeight="1" x14ac:dyDescent="0.25">
      <c r="B748" s="1"/>
    </row>
    <row r="749" spans="2:2" ht="14.25" customHeight="1" x14ac:dyDescent="0.25">
      <c r="B749" s="1"/>
    </row>
    <row r="750" spans="2:2" ht="14.25" customHeight="1" x14ac:dyDescent="0.25">
      <c r="B750" s="1"/>
    </row>
    <row r="751" spans="2:2" ht="14.25" customHeight="1" x14ac:dyDescent="0.25">
      <c r="B751" s="1"/>
    </row>
    <row r="752" spans="2:2" ht="14.25" customHeight="1" x14ac:dyDescent="0.25">
      <c r="B752" s="1"/>
    </row>
    <row r="753" spans="2:2" ht="14.25" customHeight="1" x14ac:dyDescent="0.25">
      <c r="B753" s="1"/>
    </row>
    <row r="754" spans="2:2" ht="14.25" customHeight="1" x14ac:dyDescent="0.25">
      <c r="B754" s="1"/>
    </row>
    <row r="755" spans="2:2" ht="14.25" customHeight="1" x14ac:dyDescent="0.25">
      <c r="B755" s="1"/>
    </row>
    <row r="756" spans="2:2" ht="14.25" customHeight="1" x14ac:dyDescent="0.25">
      <c r="B756" s="1"/>
    </row>
    <row r="757" spans="2:2" ht="14.25" customHeight="1" x14ac:dyDescent="0.25">
      <c r="B757" s="1"/>
    </row>
    <row r="758" spans="2:2" ht="14.25" customHeight="1" x14ac:dyDescent="0.25">
      <c r="B758" s="1"/>
    </row>
    <row r="759" spans="2:2" ht="14.25" customHeight="1" x14ac:dyDescent="0.25">
      <c r="B759" s="1"/>
    </row>
    <row r="760" spans="2:2" ht="14.25" customHeight="1" x14ac:dyDescent="0.25">
      <c r="B760" s="1"/>
    </row>
    <row r="761" spans="2:2" ht="14.25" customHeight="1" x14ac:dyDescent="0.25">
      <c r="B761" s="1"/>
    </row>
    <row r="762" spans="2:2" ht="14.25" customHeight="1" x14ac:dyDescent="0.25">
      <c r="B762" s="1"/>
    </row>
    <row r="763" spans="2:2" ht="14.25" customHeight="1" x14ac:dyDescent="0.25">
      <c r="B763" s="1"/>
    </row>
    <row r="764" spans="2:2" ht="14.25" customHeight="1" x14ac:dyDescent="0.25">
      <c r="B764" s="1"/>
    </row>
    <row r="765" spans="2:2" ht="14.25" customHeight="1" x14ac:dyDescent="0.25">
      <c r="B765" s="1"/>
    </row>
    <row r="766" spans="2:2" ht="14.25" customHeight="1" x14ac:dyDescent="0.25">
      <c r="B766" s="1"/>
    </row>
    <row r="767" spans="2:2" ht="14.25" customHeight="1" x14ac:dyDescent="0.25">
      <c r="B767" s="1"/>
    </row>
    <row r="768" spans="2:2" ht="14.25" customHeight="1" x14ac:dyDescent="0.25">
      <c r="B768" s="1"/>
    </row>
    <row r="769" spans="2:2" ht="14.25" customHeight="1" x14ac:dyDescent="0.25">
      <c r="B769" s="1"/>
    </row>
    <row r="770" spans="2:2" ht="14.25" customHeight="1" x14ac:dyDescent="0.25">
      <c r="B770" s="1"/>
    </row>
    <row r="771" spans="2:2" ht="14.25" customHeight="1" x14ac:dyDescent="0.25">
      <c r="B771" s="1"/>
    </row>
    <row r="772" spans="2:2" ht="14.25" customHeight="1" x14ac:dyDescent="0.25">
      <c r="B772" s="1"/>
    </row>
    <row r="773" spans="2:2" ht="14.25" customHeight="1" x14ac:dyDescent="0.25">
      <c r="B773" s="1"/>
    </row>
    <row r="774" spans="2:2" ht="14.25" customHeight="1" x14ac:dyDescent="0.25">
      <c r="B774" s="1"/>
    </row>
    <row r="775" spans="2:2" ht="14.25" customHeight="1" x14ac:dyDescent="0.25">
      <c r="B775" s="1"/>
    </row>
    <row r="776" spans="2:2" ht="14.25" customHeight="1" x14ac:dyDescent="0.25">
      <c r="B776" s="1"/>
    </row>
    <row r="777" spans="2:2" ht="14.25" customHeight="1" x14ac:dyDescent="0.25">
      <c r="B777" s="1"/>
    </row>
    <row r="778" spans="2:2" ht="14.25" customHeight="1" x14ac:dyDescent="0.25">
      <c r="B778" s="1"/>
    </row>
    <row r="779" spans="2:2" ht="14.25" customHeight="1" x14ac:dyDescent="0.25">
      <c r="B779" s="1"/>
    </row>
    <row r="780" spans="2:2" ht="14.25" customHeight="1" x14ac:dyDescent="0.25">
      <c r="B780" s="1"/>
    </row>
    <row r="781" spans="2:2" ht="14.25" customHeight="1" x14ac:dyDescent="0.25">
      <c r="B781" s="1"/>
    </row>
    <row r="782" spans="2:2" ht="14.25" customHeight="1" x14ac:dyDescent="0.25">
      <c r="B782" s="1"/>
    </row>
    <row r="783" spans="2:2" ht="14.25" customHeight="1" x14ac:dyDescent="0.25">
      <c r="B783" s="1"/>
    </row>
    <row r="784" spans="2:2" ht="14.25" customHeight="1" x14ac:dyDescent="0.25">
      <c r="B784" s="1"/>
    </row>
    <row r="785" spans="2:2" ht="14.25" customHeight="1" x14ac:dyDescent="0.25">
      <c r="B785" s="1"/>
    </row>
    <row r="786" spans="2:2" ht="14.25" customHeight="1" x14ac:dyDescent="0.25">
      <c r="B786" s="1"/>
    </row>
    <row r="787" spans="2:2" ht="14.25" customHeight="1" x14ac:dyDescent="0.25">
      <c r="B787" s="1"/>
    </row>
    <row r="788" spans="2:2" ht="14.25" customHeight="1" x14ac:dyDescent="0.25">
      <c r="B788" s="1"/>
    </row>
    <row r="789" spans="2:2" ht="14.25" customHeight="1" x14ac:dyDescent="0.25">
      <c r="B789" s="1"/>
    </row>
    <row r="790" spans="2:2" ht="14.25" customHeight="1" x14ac:dyDescent="0.25">
      <c r="B790" s="1"/>
    </row>
    <row r="791" spans="2:2" ht="14.25" customHeight="1" x14ac:dyDescent="0.25">
      <c r="B791" s="1"/>
    </row>
    <row r="792" spans="2:2" ht="14.25" customHeight="1" x14ac:dyDescent="0.25">
      <c r="B792" s="1"/>
    </row>
    <row r="793" spans="2:2" ht="14.25" customHeight="1" x14ac:dyDescent="0.25">
      <c r="B793" s="1"/>
    </row>
    <row r="794" spans="2:2" ht="14.25" customHeight="1" x14ac:dyDescent="0.25">
      <c r="B794" s="1"/>
    </row>
    <row r="795" spans="2:2" ht="14.25" customHeight="1" x14ac:dyDescent="0.25">
      <c r="B795" s="1"/>
    </row>
    <row r="796" spans="2:2" ht="14.25" customHeight="1" x14ac:dyDescent="0.25">
      <c r="B796" s="1"/>
    </row>
    <row r="797" spans="2:2" ht="14.25" customHeight="1" x14ac:dyDescent="0.25">
      <c r="B797" s="1"/>
    </row>
    <row r="798" spans="2:2" ht="14.25" customHeight="1" x14ac:dyDescent="0.25">
      <c r="B798" s="1"/>
    </row>
    <row r="799" spans="2:2" ht="14.25" customHeight="1" x14ac:dyDescent="0.25">
      <c r="B799" s="1"/>
    </row>
    <row r="800" spans="2:2" ht="14.25" customHeight="1" x14ac:dyDescent="0.25">
      <c r="B800" s="1"/>
    </row>
    <row r="801" spans="2:2" ht="14.25" customHeight="1" x14ac:dyDescent="0.25">
      <c r="B801" s="1"/>
    </row>
    <row r="802" spans="2:2" ht="14.25" customHeight="1" x14ac:dyDescent="0.25">
      <c r="B802" s="1"/>
    </row>
    <row r="803" spans="2:2" ht="14.25" customHeight="1" x14ac:dyDescent="0.25">
      <c r="B803" s="1"/>
    </row>
    <row r="804" spans="2:2" ht="14.25" customHeight="1" x14ac:dyDescent="0.25">
      <c r="B804" s="1"/>
    </row>
    <row r="805" spans="2:2" ht="14.25" customHeight="1" x14ac:dyDescent="0.25">
      <c r="B805" s="1"/>
    </row>
    <row r="806" spans="2:2" ht="14.25" customHeight="1" x14ac:dyDescent="0.25">
      <c r="B806" s="1"/>
    </row>
    <row r="807" spans="2:2" ht="14.25" customHeight="1" x14ac:dyDescent="0.25">
      <c r="B807" s="1"/>
    </row>
    <row r="808" spans="2:2" ht="14.25" customHeight="1" x14ac:dyDescent="0.25">
      <c r="B808" s="1"/>
    </row>
    <row r="809" spans="2:2" ht="14.25" customHeight="1" x14ac:dyDescent="0.25">
      <c r="B809" s="1"/>
    </row>
    <row r="810" spans="2:2" ht="14.25" customHeight="1" x14ac:dyDescent="0.25">
      <c r="B810" s="1"/>
    </row>
    <row r="811" spans="2:2" ht="14.25" customHeight="1" x14ac:dyDescent="0.25">
      <c r="B811" s="1"/>
    </row>
    <row r="812" spans="2:2" ht="14.25" customHeight="1" x14ac:dyDescent="0.25">
      <c r="B812" s="1"/>
    </row>
    <row r="813" spans="2:2" ht="14.25" customHeight="1" x14ac:dyDescent="0.25">
      <c r="B813" s="1"/>
    </row>
    <row r="814" spans="2:2" ht="14.25" customHeight="1" x14ac:dyDescent="0.25">
      <c r="B814" s="1"/>
    </row>
    <row r="815" spans="2:2" ht="14.25" customHeight="1" x14ac:dyDescent="0.25">
      <c r="B815" s="1"/>
    </row>
    <row r="816" spans="2:2" ht="14.25" customHeight="1" x14ac:dyDescent="0.25">
      <c r="B816" s="1"/>
    </row>
    <row r="817" spans="2:2" ht="14.25" customHeight="1" x14ac:dyDescent="0.25">
      <c r="B817" s="1"/>
    </row>
    <row r="818" spans="2:2" ht="14.25" customHeight="1" x14ac:dyDescent="0.25">
      <c r="B818" s="1"/>
    </row>
    <row r="819" spans="2:2" ht="14.25" customHeight="1" x14ac:dyDescent="0.25">
      <c r="B819" s="1"/>
    </row>
    <row r="820" spans="2:2" ht="14.25" customHeight="1" x14ac:dyDescent="0.25">
      <c r="B820" s="1"/>
    </row>
    <row r="821" spans="2:2" ht="14.25" customHeight="1" x14ac:dyDescent="0.25">
      <c r="B821" s="1"/>
    </row>
    <row r="822" spans="2:2" ht="14.25" customHeight="1" x14ac:dyDescent="0.25">
      <c r="B822" s="1"/>
    </row>
    <row r="823" spans="2:2" ht="14.25" customHeight="1" x14ac:dyDescent="0.25">
      <c r="B823" s="1"/>
    </row>
    <row r="824" spans="2:2" ht="14.25" customHeight="1" x14ac:dyDescent="0.25">
      <c r="B824" s="1"/>
    </row>
    <row r="825" spans="2:2" ht="14.25" customHeight="1" x14ac:dyDescent="0.25">
      <c r="B825" s="1"/>
    </row>
    <row r="826" spans="2:2" ht="14.25" customHeight="1" x14ac:dyDescent="0.25">
      <c r="B826" s="1"/>
    </row>
    <row r="827" spans="2:2" ht="14.25" customHeight="1" x14ac:dyDescent="0.25">
      <c r="B827" s="1"/>
    </row>
    <row r="828" spans="2:2" ht="14.25" customHeight="1" x14ac:dyDescent="0.25">
      <c r="B828" s="1"/>
    </row>
    <row r="829" spans="2:2" ht="14.25" customHeight="1" x14ac:dyDescent="0.25">
      <c r="B829" s="1"/>
    </row>
    <row r="830" spans="2:2" ht="14.25" customHeight="1" x14ac:dyDescent="0.25">
      <c r="B830" s="1"/>
    </row>
    <row r="831" spans="2:2" ht="14.25" customHeight="1" x14ac:dyDescent="0.25">
      <c r="B831" s="1"/>
    </row>
    <row r="832" spans="2:2" ht="14.25" customHeight="1" x14ac:dyDescent="0.25">
      <c r="B832" s="1"/>
    </row>
    <row r="833" spans="2:2" ht="14.25" customHeight="1" x14ac:dyDescent="0.25">
      <c r="B833" s="1"/>
    </row>
    <row r="834" spans="2:2" ht="14.25" customHeight="1" x14ac:dyDescent="0.25">
      <c r="B834" s="1"/>
    </row>
    <row r="835" spans="2:2" ht="14.25" customHeight="1" x14ac:dyDescent="0.25">
      <c r="B835" s="1"/>
    </row>
    <row r="836" spans="2:2" ht="14.25" customHeight="1" x14ac:dyDescent="0.25">
      <c r="B836" s="1"/>
    </row>
    <row r="837" spans="2:2" ht="14.25" customHeight="1" x14ac:dyDescent="0.25">
      <c r="B837" s="1"/>
    </row>
    <row r="838" spans="2:2" ht="14.25" customHeight="1" x14ac:dyDescent="0.25">
      <c r="B838" s="1"/>
    </row>
    <row r="839" spans="2:2" ht="14.25" customHeight="1" x14ac:dyDescent="0.25">
      <c r="B839" s="1"/>
    </row>
    <row r="840" spans="2:2" ht="14.25" customHeight="1" x14ac:dyDescent="0.25">
      <c r="B840" s="1"/>
    </row>
    <row r="841" spans="2:2" ht="14.25" customHeight="1" x14ac:dyDescent="0.25">
      <c r="B841" s="1"/>
    </row>
    <row r="842" spans="2:2" ht="14.25" customHeight="1" x14ac:dyDescent="0.25">
      <c r="B842" s="1"/>
    </row>
    <row r="843" spans="2:2" ht="14.25" customHeight="1" x14ac:dyDescent="0.25">
      <c r="B843" s="1"/>
    </row>
    <row r="844" spans="2:2" ht="14.25" customHeight="1" x14ac:dyDescent="0.25">
      <c r="B844" s="1"/>
    </row>
    <row r="845" spans="2:2" ht="14.25" customHeight="1" x14ac:dyDescent="0.25">
      <c r="B845" s="1"/>
    </row>
    <row r="846" spans="2:2" ht="14.25" customHeight="1" x14ac:dyDescent="0.25">
      <c r="B846" s="1"/>
    </row>
    <row r="847" spans="2:2" ht="14.25" customHeight="1" x14ac:dyDescent="0.25">
      <c r="B847" s="1"/>
    </row>
    <row r="848" spans="2:2" ht="14.25" customHeight="1" x14ac:dyDescent="0.25">
      <c r="B848" s="1"/>
    </row>
    <row r="849" spans="2:2" ht="14.25" customHeight="1" x14ac:dyDescent="0.25">
      <c r="B849" s="1"/>
    </row>
    <row r="850" spans="2:2" ht="14.25" customHeight="1" x14ac:dyDescent="0.25">
      <c r="B850" s="1"/>
    </row>
    <row r="851" spans="2:2" ht="14.25" customHeight="1" x14ac:dyDescent="0.25">
      <c r="B851" s="1"/>
    </row>
    <row r="852" spans="2:2" ht="14.25" customHeight="1" x14ac:dyDescent="0.25">
      <c r="B852" s="1"/>
    </row>
    <row r="853" spans="2:2" ht="14.25" customHeight="1" x14ac:dyDescent="0.25">
      <c r="B853" s="1"/>
    </row>
    <row r="854" spans="2:2" ht="14.25" customHeight="1" x14ac:dyDescent="0.25">
      <c r="B854" s="1"/>
    </row>
    <row r="855" spans="2:2" ht="14.25" customHeight="1" x14ac:dyDescent="0.25">
      <c r="B855" s="1"/>
    </row>
    <row r="856" spans="2:2" ht="14.25" customHeight="1" x14ac:dyDescent="0.25">
      <c r="B856" s="1"/>
    </row>
    <row r="857" spans="2:2" ht="14.25" customHeight="1" x14ac:dyDescent="0.25">
      <c r="B857" s="1"/>
    </row>
    <row r="858" spans="2:2" ht="14.25" customHeight="1" x14ac:dyDescent="0.25">
      <c r="B858" s="1"/>
    </row>
    <row r="859" spans="2:2" ht="14.25" customHeight="1" x14ac:dyDescent="0.25">
      <c r="B859" s="1"/>
    </row>
    <row r="860" spans="2:2" ht="14.25" customHeight="1" x14ac:dyDescent="0.25">
      <c r="B860" s="1"/>
    </row>
    <row r="861" spans="2:2" ht="14.25" customHeight="1" x14ac:dyDescent="0.25">
      <c r="B861" s="1"/>
    </row>
    <row r="862" spans="2:2" ht="14.25" customHeight="1" x14ac:dyDescent="0.25">
      <c r="B862" s="1"/>
    </row>
    <row r="863" spans="2:2" ht="14.25" customHeight="1" x14ac:dyDescent="0.25">
      <c r="B863" s="1"/>
    </row>
    <row r="864" spans="2:2" ht="14.25" customHeight="1" x14ac:dyDescent="0.25">
      <c r="B864" s="1"/>
    </row>
    <row r="865" spans="2:2" ht="14.25" customHeight="1" x14ac:dyDescent="0.25">
      <c r="B865" s="1"/>
    </row>
    <row r="866" spans="2:2" ht="14.25" customHeight="1" x14ac:dyDescent="0.25">
      <c r="B866" s="1"/>
    </row>
    <row r="867" spans="2:2" ht="14.25" customHeight="1" x14ac:dyDescent="0.25">
      <c r="B867" s="1"/>
    </row>
    <row r="868" spans="2:2" ht="14.25" customHeight="1" x14ac:dyDescent="0.25">
      <c r="B868" s="1"/>
    </row>
    <row r="869" spans="2:2" ht="14.25" customHeight="1" x14ac:dyDescent="0.25">
      <c r="B869" s="1"/>
    </row>
    <row r="870" spans="2:2" ht="14.25" customHeight="1" x14ac:dyDescent="0.25">
      <c r="B870" s="1"/>
    </row>
    <row r="871" spans="2:2" ht="14.25" customHeight="1" x14ac:dyDescent="0.25">
      <c r="B871" s="1"/>
    </row>
    <row r="872" spans="2:2" ht="14.25" customHeight="1" x14ac:dyDescent="0.25">
      <c r="B872" s="1"/>
    </row>
    <row r="873" spans="2:2" ht="14.25" customHeight="1" x14ac:dyDescent="0.25">
      <c r="B873" s="1"/>
    </row>
    <row r="874" spans="2:2" ht="14.25" customHeight="1" x14ac:dyDescent="0.25">
      <c r="B874" s="1"/>
    </row>
    <row r="875" spans="2:2" ht="14.25" customHeight="1" x14ac:dyDescent="0.25">
      <c r="B875" s="1"/>
    </row>
    <row r="876" spans="2:2" ht="14.25" customHeight="1" x14ac:dyDescent="0.25">
      <c r="B876" s="1"/>
    </row>
    <row r="877" spans="2:2" ht="14.25" customHeight="1" x14ac:dyDescent="0.25">
      <c r="B877" s="1"/>
    </row>
    <row r="878" spans="2:2" ht="14.25" customHeight="1" x14ac:dyDescent="0.25">
      <c r="B878" s="1"/>
    </row>
    <row r="879" spans="2:2" ht="14.25" customHeight="1" x14ac:dyDescent="0.25">
      <c r="B879" s="1"/>
    </row>
    <row r="880" spans="2:2" ht="14.25" customHeight="1" x14ac:dyDescent="0.25">
      <c r="B880" s="1"/>
    </row>
    <row r="881" spans="2:2" ht="14.25" customHeight="1" x14ac:dyDescent="0.25">
      <c r="B881" s="1"/>
    </row>
    <row r="882" spans="2:2" ht="14.25" customHeight="1" x14ac:dyDescent="0.25">
      <c r="B882" s="1"/>
    </row>
    <row r="883" spans="2:2" ht="14.25" customHeight="1" x14ac:dyDescent="0.25">
      <c r="B883" s="1"/>
    </row>
    <row r="884" spans="2:2" ht="14.25" customHeight="1" x14ac:dyDescent="0.25">
      <c r="B884" s="1"/>
    </row>
    <row r="885" spans="2:2" ht="14.25" customHeight="1" x14ac:dyDescent="0.25">
      <c r="B885" s="1"/>
    </row>
    <row r="886" spans="2:2" ht="14.25" customHeight="1" x14ac:dyDescent="0.25">
      <c r="B886" s="1"/>
    </row>
    <row r="887" spans="2:2" ht="14.25" customHeight="1" x14ac:dyDescent="0.25">
      <c r="B887" s="1"/>
    </row>
    <row r="888" spans="2:2" ht="14.25" customHeight="1" x14ac:dyDescent="0.25">
      <c r="B888" s="1"/>
    </row>
    <row r="889" spans="2:2" ht="14.25" customHeight="1" x14ac:dyDescent="0.25">
      <c r="B889" s="1"/>
    </row>
    <row r="890" spans="2:2" ht="14.25" customHeight="1" x14ac:dyDescent="0.25">
      <c r="B890" s="1"/>
    </row>
    <row r="891" spans="2:2" ht="14.25" customHeight="1" x14ac:dyDescent="0.25">
      <c r="B891" s="1"/>
    </row>
    <row r="892" spans="2:2" ht="14.25" customHeight="1" x14ac:dyDescent="0.25">
      <c r="B892" s="1"/>
    </row>
    <row r="893" spans="2:2" ht="14.25" customHeight="1" x14ac:dyDescent="0.25">
      <c r="B893" s="1"/>
    </row>
    <row r="894" spans="2:2" ht="14.25" customHeight="1" x14ac:dyDescent="0.25">
      <c r="B894" s="1"/>
    </row>
    <row r="895" spans="2:2" ht="14.25" customHeight="1" x14ac:dyDescent="0.25">
      <c r="B895" s="1"/>
    </row>
    <row r="896" spans="2:2" ht="14.25" customHeight="1" x14ac:dyDescent="0.25">
      <c r="B896" s="1"/>
    </row>
    <row r="897" spans="2:2" ht="14.25" customHeight="1" x14ac:dyDescent="0.25">
      <c r="B897" s="1"/>
    </row>
    <row r="898" spans="2:2" ht="14.25" customHeight="1" x14ac:dyDescent="0.25">
      <c r="B898" s="1"/>
    </row>
    <row r="899" spans="2:2" ht="14.25" customHeight="1" x14ac:dyDescent="0.25">
      <c r="B899" s="1"/>
    </row>
    <row r="900" spans="2:2" ht="14.25" customHeight="1" x14ac:dyDescent="0.25">
      <c r="B900" s="1"/>
    </row>
    <row r="901" spans="2:2" ht="14.25" customHeight="1" x14ac:dyDescent="0.25">
      <c r="B901" s="1"/>
    </row>
    <row r="902" spans="2:2" ht="14.25" customHeight="1" x14ac:dyDescent="0.25">
      <c r="B902" s="1"/>
    </row>
    <row r="903" spans="2:2" ht="14.25" customHeight="1" x14ac:dyDescent="0.25">
      <c r="B903" s="1"/>
    </row>
    <row r="904" spans="2:2" ht="14.25" customHeight="1" x14ac:dyDescent="0.25">
      <c r="B904" s="1"/>
    </row>
    <row r="905" spans="2:2" ht="14.25" customHeight="1" x14ac:dyDescent="0.25">
      <c r="B905" s="1"/>
    </row>
    <row r="906" spans="2:2" ht="14.25" customHeight="1" x14ac:dyDescent="0.25">
      <c r="B906" s="1"/>
    </row>
    <row r="907" spans="2:2" ht="14.25" customHeight="1" x14ac:dyDescent="0.25">
      <c r="B907" s="1"/>
    </row>
    <row r="908" spans="2:2" ht="14.25" customHeight="1" x14ac:dyDescent="0.25">
      <c r="B908" s="1"/>
    </row>
    <row r="909" spans="2:2" ht="14.25" customHeight="1" x14ac:dyDescent="0.25">
      <c r="B909" s="1"/>
    </row>
    <row r="910" spans="2:2" ht="14.25" customHeight="1" x14ac:dyDescent="0.25">
      <c r="B910" s="1"/>
    </row>
    <row r="911" spans="2:2" ht="14.25" customHeight="1" x14ac:dyDescent="0.25">
      <c r="B911" s="1"/>
    </row>
    <row r="912" spans="2:2" ht="14.25" customHeight="1" x14ac:dyDescent="0.25">
      <c r="B912" s="1"/>
    </row>
    <row r="913" spans="2:2" ht="14.25" customHeight="1" x14ac:dyDescent="0.25">
      <c r="B913" s="1"/>
    </row>
    <row r="914" spans="2:2" ht="14.25" customHeight="1" x14ac:dyDescent="0.25">
      <c r="B914" s="1"/>
    </row>
    <row r="915" spans="2:2" ht="14.25" customHeight="1" x14ac:dyDescent="0.25">
      <c r="B915" s="1"/>
    </row>
    <row r="916" spans="2:2" ht="14.25" customHeight="1" x14ac:dyDescent="0.25">
      <c r="B916" s="1"/>
    </row>
    <row r="917" spans="2:2" ht="14.25" customHeight="1" x14ac:dyDescent="0.25">
      <c r="B917" s="1"/>
    </row>
    <row r="918" spans="2:2" ht="14.25" customHeight="1" x14ac:dyDescent="0.25">
      <c r="B918" s="1"/>
    </row>
    <row r="919" spans="2:2" ht="14.25" customHeight="1" x14ac:dyDescent="0.25">
      <c r="B919" s="1"/>
    </row>
    <row r="920" spans="2:2" ht="14.25" customHeight="1" x14ac:dyDescent="0.25">
      <c r="B920" s="1"/>
    </row>
    <row r="921" spans="2:2" ht="14.25" customHeight="1" x14ac:dyDescent="0.25">
      <c r="B921" s="1"/>
    </row>
    <row r="922" spans="2:2" ht="14.25" customHeight="1" x14ac:dyDescent="0.25">
      <c r="B922" s="1"/>
    </row>
    <row r="923" spans="2:2" ht="14.25" customHeight="1" x14ac:dyDescent="0.25">
      <c r="B923" s="1"/>
    </row>
    <row r="924" spans="2:2" ht="14.25" customHeight="1" x14ac:dyDescent="0.25">
      <c r="B924" s="1"/>
    </row>
    <row r="925" spans="2:2" ht="14.25" customHeight="1" x14ac:dyDescent="0.25">
      <c r="B925" s="1"/>
    </row>
    <row r="926" spans="2:2" ht="14.25" customHeight="1" x14ac:dyDescent="0.25">
      <c r="B926" s="1"/>
    </row>
    <row r="927" spans="2:2" ht="14.25" customHeight="1" x14ac:dyDescent="0.25">
      <c r="B927" s="1"/>
    </row>
    <row r="928" spans="2:2" ht="14.25" customHeight="1" x14ac:dyDescent="0.25">
      <c r="B928" s="1"/>
    </row>
    <row r="929" spans="2:2" ht="14.25" customHeight="1" x14ac:dyDescent="0.25">
      <c r="B929" s="1"/>
    </row>
    <row r="930" spans="2:2" ht="14.25" customHeight="1" x14ac:dyDescent="0.25">
      <c r="B930" s="1"/>
    </row>
    <row r="931" spans="2:2" ht="14.25" customHeight="1" x14ac:dyDescent="0.25">
      <c r="B931" s="1"/>
    </row>
    <row r="932" spans="2:2" ht="14.25" customHeight="1" x14ac:dyDescent="0.25">
      <c r="B932" s="1"/>
    </row>
    <row r="933" spans="2:2" ht="14.25" customHeight="1" x14ac:dyDescent="0.25">
      <c r="B933" s="1"/>
    </row>
    <row r="934" spans="2:2" ht="14.25" customHeight="1" x14ac:dyDescent="0.25">
      <c r="B934" s="1"/>
    </row>
    <row r="935" spans="2:2" ht="14.25" customHeight="1" x14ac:dyDescent="0.25">
      <c r="B935" s="1"/>
    </row>
    <row r="936" spans="2:2" ht="14.25" customHeight="1" x14ac:dyDescent="0.25">
      <c r="B936" s="1"/>
    </row>
    <row r="937" spans="2:2" ht="14.25" customHeight="1" x14ac:dyDescent="0.25">
      <c r="B937" s="1"/>
    </row>
    <row r="938" spans="2:2" ht="14.25" customHeight="1" x14ac:dyDescent="0.25">
      <c r="B938" s="1"/>
    </row>
    <row r="939" spans="2:2" ht="14.25" customHeight="1" x14ac:dyDescent="0.25">
      <c r="B939" s="1"/>
    </row>
    <row r="940" spans="2:2" ht="14.25" customHeight="1" x14ac:dyDescent="0.25">
      <c r="B940" s="1"/>
    </row>
    <row r="941" spans="2:2" ht="14.25" customHeight="1" x14ac:dyDescent="0.25">
      <c r="B941" s="1"/>
    </row>
    <row r="942" spans="2:2" ht="14.25" customHeight="1" x14ac:dyDescent="0.25">
      <c r="B942" s="1"/>
    </row>
    <row r="943" spans="2:2" ht="14.25" customHeight="1" x14ac:dyDescent="0.25">
      <c r="B943" s="1"/>
    </row>
    <row r="944" spans="2:2" ht="14.25" customHeight="1" x14ac:dyDescent="0.25">
      <c r="B944" s="1"/>
    </row>
    <row r="945" spans="2:2" ht="14.25" customHeight="1" x14ac:dyDescent="0.25">
      <c r="B945" s="1"/>
    </row>
    <row r="946" spans="2:2" ht="14.25" customHeight="1" x14ac:dyDescent="0.25">
      <c r="B946" s="1"/>
    </row>
    <row r="947" spans="2:2" ht="14.25" customHeight="1" x14ac:dyDescent="0.25">
      <c r="B947" s="1"/>
    </row>
    <row r="948" spans="2:2" ht="14.25" customHeight="1" x14ac:dyDescent="0.25">
      <c r="B948" s="1"/>
    </row>
    <row r="949" spans="2:2" ht="14.25" customHeight="1" x14ac:dyDescent="0.25">
      <c r="B949" s="1"/>
    </row>
    <row r="950" spans="2:2" ht="14.25" customHeight="1" x14ac:dyDescent="0.25">
      <c r="B950" s="1"/>
    </row>
    <row r="951" spans="2:2" ht="14.25" customHeight="1" x14ac:dyDescent="0.25">
      <c r="B951" s="1"/>
    </row>
    <row r="952" spans="2:2" ht="14.25" customHeight="1" x14ac:dyDescent="0.25">
      <c r="B952" s="1"/>
    </row>
    <row r="953" spans="2:2" ht="14.25" customHeight="1" x14ac:dyDescent="0.25">
      <c r="B953" s="1"/>
    </row>
    <row r="954" spans="2:2" ht="14.25" customHeight="1" x14ac:dyDescent="0.25">
      <c r="B954" s="1"/>
    </row>
    <row r="955" spans="2:2" ht="14.25" customHeight="1" x14ac:dyDescent="0.25">
      <c r="B955" s="1"/>
    </row>
    <row r="956" spans="2:2" ht="14.25" customHeight="1" x14ac:dyDescent="0.25">
      <c r="B956" s="1"/>
    </row>
    <row r="957" spans="2:2" ht="14.25" customHeight="1" x14ac:dyDescent="0.25">
      <c r="B957" s="1"/>
    </row>
    <row r="958" spans="2:2" ht="14.25" customHeight="1" x14ac:dyDescent="0.25">
      <c r="B958" s="1"/>
    </row>
    <row r="959" spans="2:2" ht="14.25" customHeight="1" x14ac:dyDescent="0.25">
      <c r="B959" s="1"/>
    </row>
    <row r="960" spans="2:2" ht="14.25" customHeight="1" x14ac:dyDescent="0.25">
      <c r="B960" s="1"/>
    </row>
    <row r="961" spans="2:2" ht="14.25" customHeight="1" x14ac:dyDescent="0.25">
      <c r="B961" s="1"/>
    </row>
    <row r="962" spans="2:2" ht="14.25" customHeight="1" x14ac:dyDescent="0.25">
      <c r="B962" s="1"/>
    </row>
    <row r="963" spans="2:2" ht="14.25" customHeight="1" x14ac:dyDescent="0.25">
      <c r="B963" s="1"/>
    </row>
    <row r="964" spans="2:2" ht="14.25" customHeight="1" x14ac:dyDescent="0.25">
      <c r="B964" s="1"/>
    </row>
    <row r="965" spans="2:2" ht="14.25" customHeight="1" x14ac:dyDescent="0.25">
      <c r="B965" s="1"/>
    </row>
    <row r="966" spans="2:2" ht="14.25" customHeight="1" x14ac:dyDescent="0.25">
      <c r="B966" s="1"/>
    </row>
    <row r="967" spans="2:2" ht="14.25" customHeight="1" x14ac:dyDescent="0.25">
      <c r="B967" s="1"/>
    </row>
    <row r="968" spans="2:2" ht="14.25" customHeight="1" x14ac:dyDescent="0.25">
      <c r="B968" s="1"/>
    </row>
    <row r="969" spans="2:2" ht="14.25" customHeight="1" x14ac:dyDescent="0.25">
      <c r="B969" s="1"/>
    </row>
    <row r="970" spans="2:2" ht="14.25" customHeight="1" x14ac:dyDescent="0.25">
      <c r="B970" s="1"/>
    </row>
    <row r="971" spans="2:2" ht="14.25" customHeight="1" x14ac:dyDescent="0.25">
      <c r="B971" s="1"/>
    </row>
    <row r="972" spans="2:2" ht="14.25" customHeight="1" x14ac:dyDescent="0.25">
      <c r="B972" s="1"/>
    </row>
    <row r="973" spans="2:2" ht="14.25" customHeight="1" x14ac:dyDescent="0.25">
      <c r="B973" s="1"/>
    </row>
    <row r="974" spans="2:2" ht="14.25" customHeight="1" x14ac:dyDescent="0.25">
      <c r="B974" s="1"/>
    </row>
    <row r="975" spans="2:2" ht="14.25" customHeight="1" x14ac:dyDescent="0.25">
      <c r="B975" s="1"/>
    </row>
    <row r="976" spans="2:2" ht="14.25" customHeight="1" x14ac:dyDescent="0.25">
      <c r="B976" s="1"/>
    </row>
    <row r="977" spans="2:2" ht="14.25" customHeight="1" x14ac:dyDescent="0.25">
      <c r="B977" s="1"/>
    </row>
    <row r="978" spans="2:2" ht="14.25" customHeight="1" x14ac:dyDescent="0.25">
      <c r="B978" s="1"/>
    </row>
    <row r="979" spans="2:2" ht="14.25" customHeight="1" x14ac:dyDescent="0.25">
      <c r="B979" s="1"/>
    </row>
    <row r="980" spans="2:2" ht="14.25" customHeight="1" x14ac:dyDescent="0.25">
      <c r="B980" s="1"/>
    </row>
    <row r="981" spans="2:2" ht="14.25" customHeight="1" x14ac:dyDescent="0.25">
      <c r="B981" s="1"/>
    </row>
    <row r="982" spans="2:2" ht="14.25" customHeight="1" x14ac:dyDescent="0.25">
      <c r="B982" s="1"/>
    </row>
    <row r="983" spans="2:2" ht="14.25" customHeight="1" x14ac:dyDescent="0.25">
      <c r="B983" s="1"/>
    </row>
    <row r="984" spans="2:2" ht="14.25" customHeight="1" x14ac:dyDescent="0.25">
      <c r="B984" s="1"/>
    </row>
    <row r="985" spans="2:2" ht="14.25" customHeight="1" x14ac:dyDescent="0.25">
      <c r="B985" s="1"/>
    </row>
    <row r="986" spans="2:2" ht="14.25" customHeight="1" x14ac:dyDescent="0.25">
      <c r="B986" s="1"/>
    </row>
    <row r="987" spans="2:2" ht="14.25" customHeight="1" x14ac:dyDescent="0.25">
      <c r="B987" s="1"/>
    </row>
    <row r="988" spans="2:2" ht="14.25" customHeight="1" x14ac:dyDescent="0.25">
      <c r="B988" s="1"/>
    </row>
    <row r="989" spans="2:2" ht="14.25" customHeight="1" x14ac:dyDescent="0.25">
      <c r="B989" s="1"/>
    </row>
    <row r="990" spans="2:2" ht="14.25" customHeight="1" x14ac:dyDescent="0.25">
      <c r="B990" s="1"/>
    </row>
    <row r="991" spans="2:2" ht="14.25" customHeight="1" x14ac:dyDescent="0.25">
      <c r="B991" s="1"/>
    </row>
    <row r="992" spans="2:2" ht="14.25" customHeight="1" x14ac:dyDescent="0.25">
      <c r="B992" s="1"/>
    </row>
    <row r="993" spans="2:2" ht="14.25" customHeight="1" x14ac:dyDescent="0.25">
      <c r="B993" s="1"/>
    </row>
    <row r="994" spans="2:2" ht="14.25" customHeight="1" x14ac:dyDescent="0.25">
      <c r="B994" s="1"/>
    </row>
    <row r="995" spans="2:2" ht="14.25" customHeight="1" x14ac:dyDescent="0.25">
      <c r="B995" s="1"/>
    </row>
    <row r="996" spans="2:2" ht="14.25" customHeight="1" x14ac:dyDescent="0.25">
      <c r="B996" s="1"/>
    </row>
  </sheetData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DF65-F27B-469B-A3D1-43F259EE68D3}">
  <dimension ref="A1:F164"/>
  <sheetViews>
    <sheetView topLeftCell="A155" workbookViewId="0">
      <selection activeCell="D164" sqref="D164"/>
    </sheetView>
  </sheetViews>
  <sheetFormatPr defaultRowHeight="15" x14ac:dyDescent="0.25"/>
  <cols>
    <col min="1" max="1" width="8.28515625" customWidth="1"/>
    <col min="2" max="2" width="13.7109375" customWidth="1"/>
    <col min="3" max="3" width="5.7109375" customWidth="1"/>
  </cols>
  <sheetData>
    <row r="1" spans="1:6" x14ac:dyDescent="0.25">
      <c r="B1" s="1"/>
      <c r="C1" t="s">
        <v>0</v>
      </c>
      <c r="D1" t="s">
        <v>210</v>
      </c>
      <c r="E1" s="5" t="s">
        <v>440</v>
      </c>
      <c r="F1" s="5" t="s">
        <v>441</v>
      </c>
    </row>
    <row r="2" spans="1:6" x14ac:dyDescent="0.25">
      <c r="B2" s="1" t="s">
        <v>1</v>
      </c>
      <c r="C2">
        <f>AVERAGE(C49:C162)</f>
        <v>41.092592592592595</v>
      </c>
      <c r="D2">
        <f>AVERAGE(D6:D163)</f>
        <v>92949.962025316461</v>
      </c>
      <c r="E2">
        <f>AVERAGE(E7:E163)</f>
        <v>746.84713375796173</v>
      </c>
      <c r="F2">
        <f>AVERAGE(F7:F163)</f>
        <v>9.1914695140923684E-3</v>
      </c>
    </row>
    <row r="3" spans="1:6" x14ac:dyDescent="0.25">
      <c r="B3" s="1" t="s">
        <v>2</v>
      </c>
      <c r="C3">
        <f>MEDIAN(C49:C162)</f>
        <v>31</v>
      </c>
      <c r="D3">
        <f>MEDIAN(D6:D163)</f>
        <v>78187</v>
      </c>
      <c r="E3">
        <f>MEDIAN(E7:E163)</f>
        <v>316</v>
      </c>
      <c r="F3">
        <f>MEDIAN(F7:F163)</f>
        <v>3.5948430812201776E-3</v>
      </c>
    </row>
    <row r="4" spans="1:6" x14ac:dyDescent="0.25">
      <c r="B4" s="1" t="s">
        <v>3</v>
      </c>
      <c r="C4">
        <f>STDEV(C49:C162)</f>
        <v>42.485299719797979</v>
      </c>
      <c r="D4">
        <f>STDEV(D6:D163)</f>
        <v>38276.547125934696</v>
      </c>
      <c r="E4">
        <f>STDEV(E7:E163)</f>
        <v>1298.4430872553064</v>
      </c>
      <c r="F4">
        <f>STDEV(F7:F163)</f>
        <v>1.7757328543878455E-2</v>
      </c>
    </row>
    <row r="5" spans="1:6" x14ac:dyDescent="0.25">
      <c r="A5" t="s">
        <v>4</v>
      </c>
      <c r="B5" s="1" t="s">
        <v>5</v>
      </c>
    </row>
    <row r="6" spans="1:6" x14ac:dyDescent="0.25">
      <c r="A6" t="s">
        <v>195</v>
      </c>
      <c r="B6" s="4">
        <v>41448</v>
      </c>
      <c r="C6">
        <f>DATEDIF(B6,B7,"d")</f>
        <v>4</v>
      </c>
      <c r="D6">
        <v>38073</v>
      </c>
    </row>
    <row r="7" spans="1:6" x14ac:dyDescent="0.25">
      <c r="A7" t="s">
        <v>196</v>
      </c>
      <c r="B7" s="4">
        <v>41452</v>
      </c>
      <c r="C7">
        <f t="shared" ref="C7:C70" si="0">DATEDIF(B7,B8,"d")</f>
        <v>0</v>
      </c>
      <c r="D7">
        <v>38076</v>
      </c>
      <c r="E7">
        <v>55</v>
      </c>
      <c r="F7">
        <f>E7/D7</f>
        <v>1.4444794621283749E-3</v>
      </c>
    </row>
    <row r="8" spans="1:6" x14ac:dyDescent="0.25">
      <c r="A8" t="s">
        <v>197</v>
      </c>
      <c r="B8" s="4">
        <v>41452</v>
      </c>
      <c r="C8">
        <f t="shared" si="0"/>
        <v>0</v>
      </c>
      <c r="D8">
        <v>38078</v>
      </c>
      <c r="E8">
        <v>11</v>
      </c>
      <c r="F8">
        <f t="shared" ref="F8:F71" si="1">E8/D8</f>
        <v>2.8888071852513261E-4</v>
      </c>
    </row>
    <row r="9" spans="1:6" x14ac:dyDescent="0.25">
      <c r="A9" t="s">
        <v>198</v>
      </c>
      <c r="B9" s="4">
        <v>41452</v>
      </c>
      <c r="C9">
        <f t="shared" si="0"/>
        <v>0</v>
      </c>
      <c r="D9">
        <v>38325</v>
      </c>
      <c r="E9">
        <v>4745</v>
      </c>
      <c r="F9">
        <f t="shared" si="1"/>
        <v>0.12380952380952381</v>
      </c>
    </row>
    <row r="10" spans="1:6" x14ac:dyDescent="0.25">
      <c r="A10" t="s">
        <v>199</v>
      </c>
      <c r="B10" s="4">
        <v>41452</v>
      </c>
      <c r="C10">
        <f t="shared" si="0"/>
        <v>0</v>
      </c>
      <c r="D10">
        <v>38425</v>
      </c>
      <c r="E10">
        <v>99</v>
      </c>
      <c r="F10">
        <f t="shared" si="1"/>
        <v>2.576447625243982E-3</v>
      </c>
    </row>
    <row r="11" spans="1:6" x14ac:dyDescent="0.25">
      <c r="A11" t="s">
        <v>200</v>
      </c>
      <c r="B11" s="4">
        <v>41452</v>
      </c>
      <c r="D11">
        <v>38547</v>
      </c>
      <c r="E11">
        <v>1525</v>
      </c>
      <c r="F11">
        <f t="shared" si="1"/>
        <v>3.9562093029288918E-2</v>
      </c>
    </row>
    <row r="12" spans="1:6" x14ac:dyDescent="0.25">
      <c r="A12" t="s">
        <v>201</v>
      </c>
      <c r="B12" s="4">
        <v>41448</v>
      </c>
      <c r="C12">
        <f t="shared" si="0"/>
        <v>4</v>
      </c>
      <c r="D12">
        <v>45629</v>
      </c>
      <c r="E12">
        <v>4994</v>
      </c>
      <c r="F12">
        <f t="shared" si="1"/>
        <v>0.10944793881084398</v>
      </c>
    </row>
    <row r="13" spans="1:6" x14ac:dyDescent="0.25">
      <c r="A13" t="s">
        <v>202</v>
      </c>
      <c r="B13" s="4">
        <v>41452</v>
      </c>
      <c r="C13">
        <f t="shared" si="0"/>
        <v>0</v>
      </c>
      <c r="D13">
        <v>45837</v>
      </c>
      <c r="E13">
        <v>1539</v>
      </c>
      <c r="F13">
        <f t="shared" si="1"/>
        <v>3.3575495778519537E-2</v>
      </c>
    </row>
    <row r="14" spans="1:6" x14ac:dyDescent="0.25">
      <c r="A14" t="s">
        <v>203</v>
      </c>
      <c r="B14" s="4">
        <v>41452</v>
      </c>
      <c r="C14">
        <f t="shared" si="0"/>
        <v>0</v>
      </c>
      <c r="D14">
        <v>45920</v>
      </c>
      <c r="E14">
        <v>197</v>
      </c>
      <c r="F14">
        <f t="shared" si="1"/>
        <v>4.2900696864111498E-3</v>
      </c>
    </row>
    <row r="15" spans="1:6" x14ac:dyDescent="0.25">
      <c r="A15" t="s">
        <v>204</v>
      </c>
      <c r="B15" s="4">
        <v>41452</v>
      </c>
      <c r="C15">
        <f t="shared" si="0"/>
        <v>0</v>
      </c>
      <c r="D15">
        <v>45985</v>
      </c>
      <c r="E15">
        <v>219</v>
      </c>
      <c r="F15">
        <f t="shared" si="1"/>
        <v>4.762422529085571E-3</v>
      </c>
    </row>
    <row r="16" spans="1:6" x14ac:dyDescent="0.25">
      <c r="A16" t="s">
        <v>205</v>
      </c>
      <c r="B16" s="4">
        <v>41452</v>
      </c>
      <c r="C16">
        <f t="shared" si="0"/>
        <v>0</v>
      </c>
      <c r="D16">
        <v>46080</v>
      </c>
      <c r="E16">
        <v>275</v>
      </c>
      <c r="F16">
        <f t="shared" si="1"/>
        <v>5.9678819444444441E-3</v>
      </c>
    </row>
    <row r="17" spans="1:6" x14ac:dyDescent="0.25">
      <c r="A17" t="s">
        <v>206</v>
      </c>
      <c r="B17" s="4">
        <v>41452</v>
      </c>
      <c r="C17">
        <f t="shared" si="0"/>
        <v>0</v>
      </c>
      <c r="D17">
        <v>46262</v>
      </c>
      <c r="E17">
        <v>287</v>
      </c>
      <c r="F17">
        <f t="shared" si="1"/>
        <v>6.2037957719078291E-3</v>
      </c>
    </row>
    <row r="18" spans="1:6" x14ac:dyDescent="0.25">
      <c r="A18" t="s">
        <v>207</v>
      </c>
      <c r="B18" s="4">
        <v>41452</v>
      </c>
      <c r="C18">
        <f t="shared" si="0"/>
        <v>0</v>
      </c>
      <c r="D18">
        <v>46395</v>
      </c>
      <c r="E18">
        <v>194</v>
      </c>
      <c r="F18">
        <f t="shared" si="1"/>
        <v>4.1814850738226099E-3</v>
      </c>
    </row>
    <row r="19" spans="1:6" x14ac:dyDescent="0.25">
      <c r="A19" t="s">
        <v>208</v>
      </c>
      <c r="B19" s="4">
        <v>41452</v>
      </c>
      <c r="C19">
        <f t="shared" si="0"/>
        <v>0</v>
      </c>
      <c r="D19">
        <v>47375</v>
      </c>
      <c r="E19">
        <v>673</v>
      </c>
      <c r="F19">
        <f t="shared" si="1"/>
        <v>1.420580474934037E-2</v>
      </c>
    </row>
    <row r="20" spans="1:6" x14ac:dyDescent="0.25">
      <c r="A20" t="s">
        <v>211</v>
      </c>
      <c r="B20" s="4">
        <v>41452</v>
      </c>
      <c r="C20">
        <f t="shared" si="0"/>
        <v>0</v>
      </c>
      <c r="D20">
        <v>50719</v>
      </c>
      <c r="E20">
        <v>4477</v>
      </c>
      <c r="F20">
        <f t="shared" si="1"/>
        <v>8.8270667797078012E-2</v>
      </c>
    </row>
    <row r="21" spans="1:6" x14ac:dyDescent="0.25">
      <c r="A21" t="s">
        <v>212</v>
      </c>
      <c r="B21" s="4">
        <v>41452</v>
      </c>
      <c r="C21">
        <f t="shared" si="0"/>
        <v>0</v>
      </c>
      <c r="D21">
        <v>53382</v>
      </c>
      <c r="E21">
        <v>185</v>
      </c>
      <c r="F21">
        <f t="shared" si="1"/>
        <v>3.4655876512682177E-3</v>
      </c>
    </row>
    <row r="22" spans="1:6" x14ac:dyDescent="0.25">
      <c r="A22" t="s">
        <v>213</v>
      </c>
      <c r="B22" s="4">
        <v>41452</v>
      </c>
      <c r="C22">
        <f t="shared" si="0"/>
        <v>0</v>
      </c>
      <c r="D22">
        <v>54836</v>
      </c>
      <c r="E22">
        <v>1472</v>
      </c>
      <c r="F22">
        <f t="shared" si="1"/>
        <v>2.68436793347436E-2</v>
      </c>
    </row>
    <row r="23" spans="1:6" x14ac:dyDescent="0.25">
      <c r="A23" t="s">
        <v>214</v>
      </c>
      <c r="B23" s="4">
        <v>41452</v>
      </c>
      <c r="C23">
        <f t="shared" si="0"/>
        <v>0</v>
      </c>
      <c r="D23">
        <v>54997</v>
      </c>
      <c r="E23">
        <v>67</v>
      </c>
      <c r="F23">
        <f t="shared" si="1"/>
        <v>1.2182482680873502E-3</v>
      </c>
    </row>
    <row r="24" spans="1:6" x14ac:dyDescent="0.25">
      <c r="A24" t="s">
        <v>215</v>
      </c>
      <c r="B24" s="4">
        <v>41452</v>
      </c>
      <c r="C24">
        <f t="shared" si="0"/>
        <v>0</v>
      </c>
      <c r="D24">
        <v>55275</v>
      </c>
      <c r="E24">
        <v>213</v>
      </c>
      <c r="F24">
        <f t="shared" si="1"/>
        <v>3.8534599728629578E-3</v>
      </c>
    </row>
    <row r="25" spans="1:6" x14ac:dyDescent="0.25">
      <c r="A25" t="s">
        <v>216</v>
      </c>
      <c r="B25" s="4">
        <v>41452</v>
      </c>
      <c r="C25">
        <f t="shared" si="0"/>
        <v>0</v>
      </c>
      <c r="D25">
        <v>55478</v>
      </c>
      <c r="E25">
        <v>80</v>
      </c>
      <c r="F25">
        <f t="shared" si="1"/>
        <v>1.4420130502181044E-3</v>
      </c>
    </row>
    <row r="26" spans="1:6" x14ac:dyDescent="0.25">
      <c r="A26" t="s">
        <v>217</v>
      </c>
      <c r="B26" s="4">
        <v>41452</v>
      </c>
      <c r="C26">
        <f t="shared" si="0"/>
        <v>0</v>
      </c>
      <c r="D26">
        <v>55512</v>
      </c>
      <c r="E26">
        <v>13</v>
      </c>
      <c r="F26">
        <f t="shared" si="1"/>
        <v>2.3418359994235481E-4</v>
      </c>
    </row>
    <row r="27" spans="1:6" x14ac:dyDescent="0.25">
      <c r="A27" t="s">
        <v>218</v>
      </c>
      <c r="B27" s="4">
        <v>41452</v>
      </c>
      <c r="C27">
        <f t="shared" si="0"/>
        <v>0</v>
      </c>
      <c r="D27">
        <v>55833</v>
      </c>
      <c r="E27">
        <v>242</v>
      </c>
      <c r="F27">
        <f t="shared" si="1"/>
        <v>4.3343542349506565E-3</v>
      </c>
    </row>
    <row r="28" spans="1:6" x14ac:dyDescent="0.25">
      <c r="A28" t="s">
        <v>219</v>
      </c>
      <c r="B28" s="4">
        <v>41452</v>
      </c>
      <c r="C28">
        <f>DATEDIF(B28,B29,"d")</f>
        <v>0</v>
      </c>
      <c r="D28">
        <v>55981</v>
      </c>
      <c r="E28">
        <v>81</v>
      </c>
      <c r="F28">
        <f t="shared" si="1"/>
        <v>1.4469194905414337E-3</v>
      </c>
    </row>
    <row r="29" spans="1:6" x14ac:dyDescent="0.25">
      <c r="A29" t="s">
        <v>220</v>
      </c>
      <c r="B29" s="4">
        <v>41452</v>
      </c>
      <c r="C29">
        <f t="shared" si="0"/>
        <v>0</v>
      </c>
      <c r="D29">
        <v>65268</v>
      </c>
      <c r="E29">
        <v>4733</v>
      </c>
      <c r="F29">
        <f t="shared" si="1"/>
        <v>7.2516393944965368E-2</v>
      </c>
    </row>
    <row r="30" spans="1:6" x14ac:dyDescent="0.25">
      <c r="A30" t="s">
        <v>221</v>
      </c>
      <c r="B30" s="4">
        <v>41452</v>
      </c>
      <c r="C30">
        <f t="shared" si="0"/>
        <v>0</v>
      </c>
      <c r="D30">
        <v>65729</v>
      </c>
      <c r="E30">
        <v>777</v>
      </c>
      <c r="F30">
        <f t="shared" si="1"/>
        <v>1.1821266107806296E-2</v>
      </c>
    </row>
    <row r="31" spans="1:6" x14ac:dyDescent="0.25">
      <c r="A31" t="s">
        <v>222</v>
      </c>
      <c r="B31" s="4">
        <v>41452</v>
      </c>
      <c r="C31">
        <f t="shared" si="0"/>
        <v>0</v>
      </c>
      <c r="D31">
        <v>66206</v>
      </c>
      <c r="E31">
        <v>108</v>
      </c>
      <c r="F31">
        <f t="shared" si="1"/>
        <v>1.6312720901428873E-3</v>
      </c>
    </row>
    <row r="32" spans="1:6" x14ac:dyDescent="0.25">
      <c r="A32" t="s">
        <v>223</v>
      </c>
      <c r="B32" s="4">
        <v>41452</v>
      </c>
      <c r="C32">
        <f t="shared" si="0"/>
        <v>0</v>
      </c>
      <c r="D32">
        <v>66334</v>
      </c>
      <c r="E32">
        <v>141</v>
      </c>
      <c r="F32">
        <f t="shared" si="1"/>
        <v>2.1256067778213285E-3</v>
      </c>
    </row>
    <row r="33" spans="1:6" x14ac:dyDescent="0.25">
      <c r="A33" t="s">
        <v>224</v>
      </c>
      <c r="B33" s="4">
        <v>41452</v>
      </c>
      <c r="C33">
        <f t="shared" si="0"/>
        <v>0</v>
      </c>
      <c r="D33">
        <v>66400</v>
      </c>
      <c r="E33">
        <v>213</v>
      </c>
      <c r="F33">
        <f t="shared" si="1"/>
        <v>3.2078313253012048E-3</v>
      </c>
    </row>
    <row r="34" spans="1:6" x14ac:dyDescent="0.25">
      <c r="A34" t="s">
        <v>225</v>
      </c>
      <c r="B34" s="4">
        <v>41452</v>
      </c>
      <c r="C34">
        <f t="shared" si="0"/>
        <v>0</v>
      </c>
      <c r="D34">
        <v>66478</v>
      </c>
      <c r="E34">
        <v>214</v>
      </c>
      <c r="F34">
        <f t="shared" si="1"/>
        <v>3.2191100815307321E-3</v>
      </c>
    </row>
    <row r="35" spans="1:6" x14ac:dyDescent="0.25">
      <c r="A35" t="s">
        <v>226</v>
      </c>
      <c r="B35" s="4">
        <v>41452</v>
      </c>
      <c r="C35">
        <f t="shared" si="0"/>
        <v>0</v>
      </c>
      <c r="D35">
        <v>66566</v>
      </c>
      <c r="E35">
        <v>137</v>
      </c>
      <c r="F35">
        <f t="shared" si="1"/>
        <v>2.0581077426914643E-3</v>
      </c>
    </row>
    <row r="36" spans="1:6" x14ac:dyDescent="0.25">
      <c r="A36" t="s">
        <v>227</v>
      </c>
      <c r="B36" s="4">
        <v>41452</v>
      </c>
      <c r="C36">
        <f t="shared" si="0"/>
        <v>0</v>
      </c>
      <c r="D36">
        <v>65406</v>
      </c>
      <c r="E36">
        <v>153</v>
      </c>
      <c r="F36">
        <f t="shared" si="1"/>
        <v>2.3392349325749933E-3</v>
      </c>
    </row>
    <row r="37" spans="1:6" x14ac:dyDescent="0.25">
      <c r="A37" t="s">
        <v>228</v>
      </c>
      <c r="B37" s="4">
        <v>41452</v>
      </c>
      <c r="C37">
        <f t="shared" si="0"/>
        <v>0</v>
      </c>
      <c r="D37">
        <v>66037</v>
      </c>
      <c r="E37">
        <v>168</v>
      </c>
      <c r="F37">
        <f t="shared" si="1"/>
        <v>2.5440283477444463E-3</v>
      </c>
    </row>
    <row r="38" spans="1:6" x14ac:dyDescent="0.25">
      <c r="A38" t="s">
        <v>229</v>
      </c>
      <c r="B38" s="4">
        <v>41452</v>
      </c>
      <c r="C38">
        <f t="shared" si="0"/>
        <v>0</v>
      </c>
      <c r="D38">
        <v>66148</v>
      </c>
      <c r="E38">
        <v>141</v>
      </c>
      <c r="F38">
        <f t="shared" si="1"/>
        <v>2.1315837213521194E-3</v>
      </c>
    </row>
    <row r="39" spans="1:6" x14ac:dyDescent="0.25">
      <c r="A39" t="s">
        <v>230</v>
      </c>
      <c r="B39" s="4">
        <v>41452</v>
      </c>
      <c r="C39">
        <f t="shared" si="0"/>
        <v>0</v>
      </c>
      <c r="D39">
        <v>66130</v>
      </c>
      <c r="E39">
        <v>1399</v>
      </c>
      <c r="F39">
        <f t="shared" si="1"/>
        <v>2.1155300166339028E-2</v>
      </c>
    </row>
    <row r="40" spans="1:6" x14ac:dyDescent="0.25">
      <c r="A40" t="s">
        <v>231</v>
      </c>
      <c r="B40" s="4">
        <v>41452</v>
      </c>
      <c r="C40">
        <f t="shared" si="0"/>
        <v>0</v>
      </c>
      <c r="D40">
        <v>66276</v>
      </c>
      <c r="E40">
        <v>253</v>
      </c>
      <c r="F40">
        <f t="shared" si="1"/>
        <v>3.8173697869515362E-3</v>
      </c>
    </row>
    <row r="41" spans="1:6" x14ac:dyDescent="0.25">
      <c r="A41" t="s">
        <v>232</v>
      </c>
      <c r="B41" s="4">
        <v>41452</v>
      </c>
      <c r="C41">
        <f t="shared" si="0"/>
        <v>0</v>
      </c>
      <c r="D41">
        <v>66307</v>
      </c>
      <c r="E41">
        <v>48</v>
      </c>
      <c r="F41">
        <f t="shared" si="1"/>
        <v>7.2390547001070782E-4</v>
      </c>
    </row>
    <row r="42" spans="1:6" x14ac:dyDescent="0.25">
      <c r="A42" t="s">
        <v>233</v>
      </c>
      <c r="B42" s="4">
        <v>41452</v>
      </c>
      <c r="C42">
        <f t="shared" si="0"/>
        <v>0</v>
      </c>
      <c r="D42">
        <v>66325</v>
      </c>
      <c r="E42">
        <v>92</v>
      </c>
      <c r="F42">
        <f t="shared" si="1"/>
        <v>1.3871089332830758E-3</v>
      </c>
    </row>
    <row r="43" spans="1:6" x14ac:dyDescent="0.25">
      <c r="A43" t="s">
        <v>234</v>
      </c>
      <c r="B43" s="4">
        <v>41452</v>
      </c>
      <c r="C43">
        <f t="shared" si="0"/>
        <v>0</v>
      </c>
      <c r="D43">
        <v>66754</v>
      </c>
      <c r="E43">
        <v>1894</v>
      </c>
      <c r="F43">
        <f t="shared" si="1"/>
        <v>2.8372831590616293E-2</v>
      </c>
    </row>
    <row r="44" spans="1:6" x14ac:dyDescent="0.25">
      <c r="A44" t="s">
        <v>235</v>
      </c>
      <c r="B44" s="4">
        <v>41452</v>
      </c>
      <c r="C44">
        <f t="shared" si="0"/>
        <v>0</v>
      </c>
      <c r="D44">
        <v>66756</v>
      </c>
      <c r="E44">
        <v>17</v>
      </c>
      <c r="F44">
        <f t="shared" si="1"/>
        <v>2.5465875726526455E-4</v>
      </c>
    </row>
    <row r="45" spans="1:6" x14ac:dyDescent="0.25">
      <c r="A45" t="s">
        <v>236</v>
      </c>
      <c r="B45" s="4">
        <v>41452</v>
      </c>
      <c r="C45">
        <f t="shared" si="0"/>
        <v>0</v>
      </c>
      <c r="D45">
        <v>68684</v>
      </c>
      <c r="E45">
        <v>249</v>
      </c>
      <c r="F45">
        <f t="shared" si="1"/>
        <v>3.6252984683477958E-3</v>
      </c>
    </row>
    <row r="46" spans="1:6" x14ac:dyDescent="0.25">
      <c r="A46" t="s">
        <v>237</v>
      </c>
      <c r="B46" s="4">
        <v>41452</v>
      </c>
      <c r="C46">
        <f t="shared" si="0"/>
        <v>0</v>
      </c>
      <c r="D46">
        <v>68809</v>
      </c>
      <c r="E46">
        <v>71</v>
      </c>
      <c r="F46">
        <f t="shared" si="1"/>
        <v>1.0318417648854075E-3</v>
      </c>
    </row>
    <row r="47" spans="1:6" x14ac:dyDescent="0.25">
      <c r="A47" t="s">
        <v>238</v>
      </c>
      <c r="B47" s="4">
        <v>41452</v>
      </c>
      <c r="C47">
        <f t="shared" si="0"/>
        <v>0</v>
      </c>
      <c r="D47">
        <v>69171</v>
      </c>
      <c r="E47">
        <v>230</v>
      </c>
      <c r="F47">
        <f t="shared" si="1"/>
        <v>3.3250928857469172E-3</v>
      </c>
    </row>
    <row r="48" spans="1:6" x14ac:dyDescent="0.25">
      <c r="A48" t="s">
        <v>239</v>
      </c>
      <c r="B48" s="4">
        <v>41452</v>
      </c>
      <c r="C48">
        <f t="shared" si="0"/>
        <v>0</v>
      </c>
      <c r="D48">
        <v>69170</v>
      </c>
      <c r="E48">
        <v>23</v>
      </c>
      <c r="F48">
        <f t="shared" si="1"/>
        <v>3.3251409570623103E-4</v>
      </c>
    </row>
    <row r="49" spans="1:6" x14ac:dyDescent="0.25">
      <c r="A49" t="s">
        <v>240</v>
      </c>
      <c r="B49" s="4">
        <v>41452</v>
      </c>
      <c r="C49">
        <f t="shared" si="0"/>
        <v>159</v>
      </c>
      <c r="D49">
        <v>69336</v>
      </c>
      <c r="E49">
        <v>197</v>
      </c>
      <c r="F49">
        <f t="shared" si="1"/>
        <v>2.8412368755047885E-3</v>
      </c>
    </row>
    <row r="50" spans="1:6" x14ac:dyDescent="0.25">
      <c r="A50" t="s">
        <v>241</v>
      </c>
      <c r="B50" s="4">
        <v>41611</v>
      </c>
      <c r="C50">
        <f t="shared" si="0"/>
        <v>99</v>
      </c>
      <c r="D50">
        <v>69430</v>
      </c>
      <c r="E50">
        <v>42</v>
      </c>
      <c r="F50">
        <f t="shared" si="1"/>
        <v>6.0492582457151087E-4</v>
      </c>
    </row>
    <row r="51" spans="1:6" x14ac:dyDescent="0.25">
      <c r="A51" t="s">
        <v>242</v>
      </c>
      <c r="B51" s="4">
        <v>41710</v>
      </c>
      <c r="C51">
        <f t="shared" si="0"/>
        <v>49</v>
      </c>
      <c r="D51">
        <v>69473</v>
      </c>
      <c r="E51">
        <v>9</v>
      </c>
      <c r="F51">
        <f t="shared" si="1"/>
        <v>1.295467303844659E-4</v>
      </c>
    </row>
    <row r="52" spans="1:6" x14ac:dyDescent="0.25">
      <c r="A52" t="s">
        <v>243</v>
      </c>
      <c r="B52" s="4">
        <v>41759</v>
      </c>
      <c r="D52">
        <v>69624</v>
      </c>
      <c r="E52">
        <v>44</v>
      </c>
      <c r="F52">
        <f t="shared" si="1"/>
        <v>6.3196598873951513E-4</v>
      </c>
    </row>
    <row r="53" spans="1:6" x14ac:dyDescent="0.25">
      <c r="A53" t="s">
        <v>244</v>
      </c>
      <c r="B53" s="4">
        <v>41522</v>
      </c>
      <c r="C53">
        <f t="shared" si="0"/>
        <v>237</v>
      </c>
      <c r="D53">
        <v>69276</v>
      </c>
      <c r="E53">
        <v>945</v>
      </c>
      <c r="F53">
        <f t="shared" si="1"/>
        <v>1.3641087822622553E-2</v>
      </c>
    </row>
    <row r="54" spans="1:6" x14ac:dyDescent="0.25">
      <c r="A54" t="s">
        <v>245</v>
      </c>
      <c r="B54" s="4">
        <v>41759</v>
      </c>
      <c r="D54">
        <v>69471</v>
      </c>
      <c r="E54">
        <v>64</v>
      </c>
      <c r="F54">
        <f t="shared" si="1"/>
        <v>9.2124771487383226E-4</v>
      </c>
    </row>
    <row r="55" spans="1:6" x14ac:dyDescent="0.25">
      <c r="A55" t="s">
        <v>246</v>
      </c>
      <c r="B55" s="4">
        <v>41585</v>
      </c>
      <c r="C55">
        <f t="shared" si="0"/>
        <v>174</v>
      </c>
      <c r="D55">
        <v>70378</v>
      </c>
      <c r="E55">
        <v>1665</v>
      </c>
      <c r="F55">
        <f t="shared" si="1"/>
        <v>2.3657961294722783E-2</v>
      </c>
    </row>
    <row r="56" spans="1:6" x14ac:dyDescent="0.25">
      <c r="A56" t="s">
        <v>247</v>
      </c>
      <c r="B56" s="4">
        <v>41759</v>
      </c>
      <c r="D56">
        <v>70626</v>
      </c>
      <c r="E56">
        <v>74</v>
      </c>
      <c r="F56">
        <f t="shared" si="1"/>
        <v>1.0477727748987625E-3</v>
      </c>
    </row>
    <row r="57" spans="1:6" x14ac:dyDescent="0.25">
      <c r="A57" t="s">
        <v>248</v>
      </c>
      <c r="B57" s="4">
        <v>41630</v>
      </c>
      <c r="C57">
        <f t="shared" si="0"/>
        <v>129</v>
      </c>
      <c r="D57">
        <v>71350</v>
      </c>
      <c r="E57">
        <v>213</v>
      </c>
      <c r="F57">
        <f t="shared" si="1"/>
        <v>2.9852838121934128E-3</v>
      </c>
    </row>
    <row r="58" spans="1:6" x14ac:dyDescent="0.25">
      <c r="A58" t="s">
        <v>249</v>
      </c>
      <c r="B58" s="4">
        <v>41759</v>
      </c>
      <c r="C58">
        <f t="shared" si="0"/>
        <v>42</v>
      </c>
      <c r="D58">
        <v>73728</v>
      </c>
      <c r="E58">
        <v>752</v>
      </c>
      <c r="F58">
        <f t="shared" si="1"/>
        <v>1.0199652777777778E-2</v>
      </c>
    </row>
    <row r="59" spans="1:6" x14ac:dyDescent="0.25">
      <c r="A59" t="s">
        <v>250</v>
      </c>
      <c r="B59" s="4">
        <v>41801</v>
      </c>
      <c r="C59">
        <f t="shared" si="0"/>
        <v>56</v>
      </c>
      <c r="D59">
        <v>75259</v>
      </c>
      <c r="E59">
        <v>2137</v>
      </c>
      <c r="F59">
        <f t="shared" si="1"/>
        <v>2.8395274983722876E-2</v>
      </c>
    </row>
    <row r="60" spans="1:6" x14ac:dyDescent="0.25">
      <c r="A60" t="s">
        <v>251</v>
      </c>
      <c r="B60" s="4">
        <v>41857</v>
      </c>
      <c r="C60">
        <f t="shared" si="0"/>
        <v>20</v>
      </c>
      <c r="D60">
        <v>75633</v>
      </c>
      <c r="E60">
        <v>159</v>
      </c>
      <c r="F60">
        <f t="shared" si="1"/>
        <v>2.1022569513307683E-3</v>
      </c>
    </row>
    <row r="61" spans="1:6" x14ac:dyDescent="0.25">
      <c r="A61" t="s">
        <v>252</v>
      </c>
      <c r="B61" s="4">
        <v>41877</v>
      </c>
      <c r="C61">
        <f t="shared" si="0"/>
        <v>65</v>
      </c>
      <c r="D61">
        <v>76483</v>
      </c>
      <c r="E61">
        <v>125</v>
      </c>
      <c r="F61">
        <f t="shared" si="1"/>
        <v>1.6343501170194685E-3</v>
      </c>
    </row>
    <row r="62" spans="1:6" x14ac:dyDescent="0.25">
      <c r="A62" t="s">
        <v>253</v>
      </c>
      <c r="B62" s="4">
        <v>41942</v>
      </c>
      <c r="C62">
        <f t="shared" si="0"/>
        <v>48</v>
      </c>
      <c r="D62">
        <v>76575</v>
      </c>
      <c r="E62">
        <v>51</v>
      </c>
      <c r="F62">
        <f t="shared" si="1"/>
        <v>6.6601371204701274E-4</v>
      </c>
    </row>
    <row r="63" spans="1:6" x14ac:dyDescent="0.25">
      <c r="A63" t="s">
        <v>254</v>
      </c>
      <c r="B63" s="4">
        <v>41990</v>
      </c>
      <c r="C63">
        <f t="shared" si="0"/>
        <v>81</v>
      </c>
      <c r="D63">
        <v>77333</v>
      </c>
      <c r="E63">
        <v>278</v>
      </c>
      <c r="F63">
        <f t="shared" si="1"/>
        <v>3.5948430812201776E-3</v>
      </c>
    </row>
    <row r="64" spans="1:6" x14ac:dyDescent="0.25">
      <c r="A64" t="s">
        <v>255</v>
      </c>
      <c r="B64" s="4">
        <v>42071</v>
      </c>
      <c r="C64">
        <f t="shared" si="0"/>
        <v>61</v>
      </c>
      <c r="D64">
        <v>78459</v>
      </c>
      <c r="E64">
        <v>260</v>
      </c>
      <c r="F64">
        <f t="shared" si="1"/>
        <v>3.3138327024305686E-3</v>
      </c>
    </row>
    <row r="65" spans="1:6" x14ac:dyDescent="0.25">
      <c r="A65" t="s">
        <v>256</v>
      </c>
      <c r="B65" s="4">
        <v>42132</v>
      </c>
      <c r="C65">
        <f t="shared" si="0"/>
        <v>74</v>
      </c>
      <c r="D65">
        <v>78459</v>
      </c>
      <c r="E65">
        <v>70</v>
      </c>
      <c r="F65">
        <f t="shared" si="1"/>
        <v>8.9218572757746083E-4</v>
      </c>
    </row>
    <row r="66" spans="1:6" x14ac:dyDescent="0.25">
      <c r="A66" t="s">
        <v>257</v>
      </c>
      <c r="B66" s="4">
        <v>42206</v>
      </c>
      <c r="D66">
        <v>78474</v>
      </c>
      <c r="E66">
        <v>22</v>
      </c>
      <c r="F66">
        <f t="shared" si="1"/>
        <v>2.8034763106251753E-4</v>
      </c>
    </row>
    <row r="67" spans="1:6" x14ac:dyDescent="0.25">
      <c r="A67" t="s">
        <v>258</v>
      </c>
      <c r="B67" s="4">
        <v>41990</v>
      </c>
      <c r="C67">
        <f t="shared" si="0"/>
        <v>96</v>
      </c>
      <c r="D67">
        <v>76987</v>
      </c>
      <c r="E67">
        <v>998</v>
      </c>
      <c r="F67">
        <f t="shared" si="1"/>
        <v>1.2963227557899385E-2</v>
      </c>
    </row>
    <row r="68" spans="1:6" x14ac:dyDescent="0.25">
      <c r="A68" t="s">
        <v>259</v>
      </c>
      <c r="B68" s="4">
        <v>42086</v>
      </c>
      <c r="C68">
        <f t="shared" si="0"/>
        <v>46</v>
      </c>
      <c r="D68">
        <v>77043</v>
      </c>
      <c r="E68">
        <v>124</v>
      </c>
      <c r="F68">
        <f t="shared" si="1"/>
        <v>1.6094908038368184E-3</v>
      </c>
    </row>
    <row r="69" spans="1:6" x14ac:dyDescent="0.25">
      <c r="A69" t="s">
        <v>260</v>
      </c>
      <c r="B69" s="4">
        <v>42132</v>
      </c>
      <c r="C69">
        <f t="shared" si="0"/>
        <v>0</v>
      </c>
      <c r="D69">
        <v>78221</v>
      </c>
      <c r="E69">
        <v>322</v>
      </c>
      <c r="F69">
        <f t="shared" si="1"/>
        <v>4.1165415936896743E-3</v>
      </c>
    </row>
    <row r="70" spans="1:6" x14ac:dyDescent="0.25">
      <c r="A70" t="s">
        <v>261</v>
      </c>
      <c r="B70" s="4">
        <v>42132</v>
      </c>
      <c r="C70">
        <f t="shared" si="0"/>
        <v>53</v>
      </c>
      <c r="D70">
        <v>78221</v>
      </c>
      <c r="E70">
        <v>70</v>
      </c>
      <c r="F70">
        <f t="shared" si="1"/>
        <v>8.9490034645427696E-4</v>
      </c>
    </row>
    <row r="71" spans="1:6" x14ac:dyDescent="0.25">
      <c r="A71" t="s">
        <v>262</v>
      </c>
      <c r="B71" s="4">
        <v>42185</v>
      </c>
      <c r="C71">
        <f t="shared" ref="C71:C134" si="2">DATEDIF(B71,B72,"d")</f>
        <v>105</v>
      </c>
      <c r="D71">
        <v>78492</v>
      </c>
      <c r="E71">
        <v>28</v>
      </c>
      <c r="F71">
        <f t="shared" si="1"/>
        <v>3.5672425215308568E-4</v>
      </c>
    </row>
    <row r="72" spans="1:6" x14ac:dyDescent="0.25">
      <c r="A72" t="s">
        <v>263</v>
      </c>
      <c r="B72" s="4">
        <v>42290</v>
      </c>
      <c r="C72">
        <f t="shared" si="2"/>
        <v>260</v>
      </c>
      <c r="D72">
        <v>78492</v>
      </c>
      <c r="E72">
        <v>6</v>
      </c>
      <c r="F72">
        <f t="shared" ref="F72:F135" si="3">E72/D72</f>
        <v>7.6440911175661215E-5</v>
      </c>
    </row>
    <row r="73" spans="1:6" x14ac:dyDescent="0.25">
      <c r="A73" t="s">
        <v>264</v>
      </c>
      <c r="B73" s="4">
        <v>42550</v>
      </c>
      <c r="D73">
        <v>76803</v>
      </c>
      <c r="E73">
        <v>81</v>
      </c>
      <c r="F73">
        <f t="shared" si="3"/>
        <v>1.0546463028787939E-3</v>
      </c>
    </row>
    <row r="74" spans="1:6" x14ac:dyDescent="0.25">
      <c r="A74" t="s">
        <v>265</v>
      </c>
      <c r="B74" s="4">
        <v>41470</v>
      </c>
      <c r="C74">
        <f t="shared" si="2"/>
        <v>1</v>
      </c>
      <c r="D74">
        <v>71732</v>
      </c>
      <c r="E74">
        <v>3290</v>
      </c>
      <c r="F74">
        <f t="shared" si="3"/>
        <v>4.5865164780014497E-2</v>
      </c>
    </row>
    <row r="75" spans="1:6" x14ac:dyDescent="0.25">
      <c r="A75" t="s">
        <v>266</v>
      </c>
      <c r="B75" s="4">
        <v>41471</v>
      </c>
      <c r="C75">
        <f t="shared" si="2"/>
        <v>2</v>
      </c>
      <c r="D75">
        <v>71788</v>
      </c>
      <c r="E75">
        <v>111</v>
      </c>
      <c r="F75">
        <f t="shared" si="3"/>
        <v>1.5462194238591409E-3</v>
      </c>
    </row>
    <row r="76" spans="1:6" x14ac:dyDescent="0.25">
      <c r="A76" t="s">
        <v>267</v>
      </c>
      <c r="B76" s="4">
        <v>41473</v>
      </c>
      <c r="C76">
        <f t="shared" si="2"/>
        <v>0</v>
      </c>
      <c r="D76">
        <v>71840</v>
      </c>
      <c r="E76">
        <v>92</v>
      </c>
      <c r="F76">
        <f t="shared" si="3"/>
        <v>1.2806236080178173E-3</v>
      </c>
    </row>
    <row r="77" spans="1:6" x14ac:dyDescent="0.25">
      <c r="A77" t="s">
        <v>268</v>
      </c>
      <c r="B77" s="4">
        <v>41473</v>
      </c>
      <c r="C77">
        <f t="shared" si="2"/>
        <v>5</v>
      </c>
      <c r="D77">
        <v>71855</v>
      </c>
      <c r="E77">
        <v>18</v>
      </c>
      <c r="F77">
        <f t="shared" si="3"/>
        <v>2.5050448820541368E-4</v>
      </c>
    </row>
    <row r="78" spans="1:6" x14ac:dyDescent="0.25">
      <c r="A78" t="s">
        <v>269</v>
      </c>
      <c r="B78" s="4">
        <v>41478</v>
      </c>
      <c r="C78">
        <f t="shared" si="2"/>
        <v>8</v>
      </c>
      <c r="D78">
        <v>72086</v>
      </c>
      <c r="E78">
        <v>659</v>
      </c>
      <c r="F78">
        <f t="shared" si="3"/>
        <v>9.1418583358765914E-3</v>
      </c>
    </row>
    <row r="79" spans="1:6" x14ac:dyDescent="0.25">
      <c r="A79" t="s">
        <v>352</v>
      </c>
      <c r="B79" s="4">
        <v>41486</v>
      </c>
      <c r="C79">
        <f t="shared" si="2"/>
        <v>1</v>
      </c>
      <c r="D79">
        <v>72291</v>
      </c>
      <c r="E79">
        <v>519</v>
      </c>
      <c r="F79">
        <f t="shared" si="3"/>
        <v>7.1793169274183511E-3</v>
      </c>
    </row>
    <row r="80" spans="1:6" x14ac:dyDescent="0.25">
      <c r="A80" t="s">
        <v>270</v>
      </c>
      <c r="B80" s="4">
        <v>41487</v>
      </c>
      <c r="C80">
        <f t="shared" si="2"/>
        <v>6</v>
      </c>
      <c r="D80">
        <v>72209</v>
      </c>
      <c r="E80">
        <v>46</v>
      </c>
      <c r="F80">
        <f t="shared" si="3"/>
        <v>6.3703970419199828E-4</v>
      </c>
    </row>
    <row r="81" spans="1:6" x14ac:dyDescent="0.25">
      <c r="A81" t="s">
        <v>271</v>
      </c>
      <c r="B81" s="4">
        <v>41493</v>
      </c>
      <c r="C81">
        <f t="shared" si="2"/>
        <v>19</v>
      </c>
      <c r="D81">
        <v>72550</v>
      </c>
      <c r="E81">
        <v>187</v>
      </c>
      <c r="F81">
        <f t="shared" si="3"/>
        <v>2.5775327360441076E-3</v>
      </c>
    </row>
    <row r="82" spans="1:6" x14ac:dyDescent="0.25">
      <c r="A82" t="s">
        <v>272</v>
      </c>
      <c r="B82" s="4">
        <v>41512</v>
      </c>
      <c r="C82">
        <f t="shared" si="2"/>
        <v>73</v>
      </c>
      <c r="D82">
        <v>72832</v>
      </c>
      <c r="E82">
        <v>433</v>
      </c>
      <c r="F82">
        <f t="shared" si="3"/>
        <v>5.9451889279437606E-3</v>
      </c>
    </row>
    <row r="83" spans="1:6" x14ac:dyDescent="0.25">
      <c r="A83" t="s">
        <v>273</v>
      </c>
      <c r="B83" s="4">
        <v>41585</v>
      </c>
      <c r="C83">
        <f t="shared" si="2"/>
        <v>0</v>
      </c>
      <c r="D83">
        <v>72980</v>
      </c>
      <c r="E83">
        <v>2053</v>
      </c>
      <c r="F83">
        <f t="shared" si="3"/>
        <v>2.8130994793094E-2</v>
      </c>
    </row>
    <row r="84" spans="1:6" x14ac:dyDescent="0.25">
      <c r="A84" t="s">
        <v>274</v>
      </c>
      <c r="B84" s="4">
        <v>41585</v>
      </c>
      <c r="C84">
        <f t="shared" si="2"/>
        <v>0</v>
      </c>
      <c r="D84">
        <v>73303</v>
      </c>
      <c r="E84">
        <v>286</v>
      </c>
      <c r="F84">
        <f t="shared" si="3"/>
        <v>3.9016138493649646E-3</v>
      </c>
    </row>
    <row r="85" spans="1:6" x14ac:dyDescent="0.25">
      <c r="A85" t="s">
        <v>275</v>
      </c>
      <c r="B85" s="4">
        <v>41585</v>
      </c>
      <c r="C85">
        <f t="shared" si="2"/>
        <v>1</v>
      </c>
      <c r="D85">
        <v>73408</v>
      </c>
      <c r="E85">
        <v>261</v>
      </c>
      <c r="F85">
        <f t="shared" si="3"/>
        <v>3.5554707933740191E-3</v>
      </c>
    </row>
    <row r="86" spans="1:6" x14ac:dyDescent="0.25">
      <c r="A86" t="s">
        <v>276</v>
      </c>
      <c r="B86" s="4">
        <v>41586</v>
      </c>
      <c r="C86">
        <f t="shared" si="2"/>
        <v>21</v>
      </c>
      <c r="D86">
        <v>73617</v>
      </c>
      <c r="E86">
        <v>414</v>
      </c>
      <c r="F86">
        <f t="shared" si="3"/>
        <v>5.6237010473124413E-3</v>
      </c>
    </row>
    <row r="87" spans="1:6" x14ac:dyDescent="0.25">
      <c r="A87" t="s">
        <v>277</v>
      </c>
      <c r="B87" s="4">
        <v>41607</v>
      </c>
      <c r="C87">
        <f t="shared" si="2"/>
        <v>23</v>
      </c>
      <c r="D87">
        <v>74256</v>
      </c>
      <c r="E87">
        <v>761</v>
      </c>
      <c r="F87">
        <f t="shared" si="3"/>
        <v>1.0248330101271278E-2</v>
      </c>
    </row>
    <row r="88" spans="1:6" x14ac:dyDescent="0.25">
      <c r="A88" t="s">
        <v>278</v>
      </c>
      <c r="B88" s="4">
        <v>41630</v>
      </c>
      <c r="C88">
        <f t="shared" si="2"/>
        <v>30</v>
      </c>
      <c r="D88">
        <v>75160</v>
      </c>
      <c r="E88">
        <v>700</v>
      </c>
      <c r="F88">
        <f t="shared" si="3"/>
        <v>9.3134646088344868E-3</v>
      </c>
    </row>
    <row r="89" spans="1:6" x14ac:dyDescent="0.25">
      <c r="A89" t="s">
        <v>279</v>
      </c>
      <c r="B89" s="4">
        <v>41660</v>
      </c>
      <c r="C89">
        <f t="shared" si="2"/>
        <v>30</v>
      </c>
      <c r="D89">
        <v>75805</v>
      </c>
      <c r="E89">
        <v>254</v>
      </c>
      <c r="F89">
        <f t="shared" si="3"/>
        <v>3.3507024602598772E-3</v>
      </c>
    </row>
    <row r="90" spans="1:6" x14ac:dyDescent="0.25">
      <c r="A90" t="s">
        <v>353</v>
      </c>
      <c r="B90" s="7">
        <v>41690</v>
      </c>
      <c r="C90">
        <f t="shared" si="2"/>
        <v>5</v>
      </c>
      <c r="D90">
        <v>78153</v>
      </c>
      <c r="E90">
        <v>602</v>
      </c>
      <c r="F90">
        <f t="shared" si="3"/>
        <v>7.7028393023940217E-3</v>
      </c>
    </row>
    <row r="91" spans="1:6" x14ac:dyDescent="0.25">
      <c r="A91" t="s">
        <v>280</v>
      </c>
      <c r="B91" s="4">
        <v>41695</v>
      </c>
      <c r="C91">
        <f t="shared" si="2"/>
        <v>35</v>
      </c>
      <c r="D91">
        <v>78142</v>
      </c>
      <c r="E91">
        <v>93</v>
      </c>
      <c r="F91">
        <f t="shared" si="3"/>
        <v>1.190141025312892E-3</v>
      </c>
    </row>
    <row r="92" spans="1:6" x14ac:dyDescent="0.25">
      <c r="A92" t="s">
        <v>281</v>
      </c>
      <c r="B92" s="4">
        <v>41730</v>
      </c>
      <c r="C92">
        <f t="shared" si="2"/>
        <v>29</v>
      </c>
      <c r="D92">
        <v>79175</v>
      </c>
      <c r="E92">
        <v>647</v>
      </c>
      <c r="F92">
        <f t="shared" si="3"/>
        <v>8.1717713924850024E-3</v>
      </c>
    </row>
    <row r="93" spans="1:6" x14ac:dyDescent="0.25">
      <c r="A93" t="s">
        <v>282</v>
      </c>
      <c r="B93" s="4">
        <v>41759</v>
      </c>
      <c r="C93">
        <f t="shared" si="2"/>
        <v>43</v>
      </c>
      <c r="D93">
        <v>80531</v>
      </c>
      <c r="E93">
        <v>771</v>
      </c>
      <c r="F93">
        <f t="shared" si="3"/>
        <v>9.5739528877078397E-3</v>
      </c>
    </row>
    <row r="94" spans="1:6" x14ac:dyDescent="0.25">
      <c r="A94" t="s">
        <v>283</v>
      </c>
      <c r="B94" s="4">
        <v>41802</v>
      </c>
      <c r="C94">
        <f t="shared" si="2"/>
        <v>19</v>
      </c>
      <c r="D94">
        <v>82743</v>
      </c>
      <c r="E94">
        <v>2224</v>
      </c>
      <c r="F94">
        <f t="shared" si="3"/>
        <v>2.6878406632585235E-2</v>
      </c>
    </row>
    <row r="95" spans="1:6" x14ac:dyDescent="0.25">
      <c r="A95" t="s">
        <v>284</v>
      </c>
      <c r="B95" s="4">
        <v>41821</v>
      </c>
      <c r="C95">
        <f t="shared" si="2"/>
        <v>43</v>
      </c>
      <c r="D95">
        <v>83346</v>
      </c>
      <c r="E95">
        <v>892</v>
      </c>
      <c r="F95">
        <f t="shared" si="3"/>
        <v>1.0702373239267631E-2</v>
      </c>
    </row>
    <row r="96" spans="1:6" x14ac:dyDescent="0.25">
      <c r="A96" t="s">
        <v>285</v>
      </c>
      <c r="B96" s="4">
        <v>41864</v>
      </c>
      <c r="C96">
        <f t="shared" si="2"/>
        <v>2</v>
      </c>
      <c r="D96">
        <v>84592</v>
      </c>
      <c r="E96">
        <v>1463</v>
      </c>
      <c r="F96">
        <f t="shared" si="3"/>
        <v>1.7294779648193682E-2</v>
      </c>
    </row>
    <row r="97" spans="1:6" x14ac:dyDescent="0.25">
      <c r="A97" t="s">
        <v>286</v>
      </c>
      <c r="B97" s="4">
        <v>41866</v>
      </c>
      <c r="C97">
        <f t="shared" si="2"/>
        <v>75</v>
      </c>
      <c r="D97">
        <v>84584</v>
      </c>
      <c r="E97">
        <v>25</v>
      </c>
      <c r="F97">
        <f t="shared" si="3"/>
        <v>2.9556417289321857E-4</v>
      </c>
    </row>
    <row r="98" spans="1:6" x14ac:dyDescent="0.25">
      <c r="A98" t="s">
        <v>287</v>
      </c>
      <c r="B98" s="4">
        <v>41941</v>
      </c>
      <c r="C98">
        <f t="shared" si="2"/>
        <v>63</v>
      </c>
      <c r="D98">
        <v>85802</v>
      </c>
      <c r="E98">
        <v>596</v>
      </c>
      <c r="F98">
        <f t="shared" si="3"/>
        <v>6.9462250297195874E-3</v>
      </c>
    </row>
    <row r="99" spans="1:6" x14ac:dyDescent="0.25">
      <c r="A99" t="s">
        <v>288</v>
      </c>
      <c r="B99" s="4">
        <v>42004</v>
      </c>
      <c r="C99">
        <f t="shared" si="2"/>
        <v>61</v>
      </c>
      <c r="D99">
        <v>89949</v>
      </c>
      <c r="E99">
        <v>1628</v>
      </c>
      <c r="F99">
        <f t="shared" si="3"/>
        <v>1.8099145071095842E-2</v>
      </c>
    </row>
    <row r="100" spans="1:6" x14ac:dyDescent="0.25">
      <c r="A100" t="s">
        <v>354</v>
      </c>
      <c r="B100" s="7">
        <v>42065</v>
      </c>
      <c r="C100">
        <f t="shared" si="2"/>
        <v>2</v>
      </c>
      <c r="D100">
        <v>91461</v>
      </c>
      <c r="E100">
        <v>981</v>
      </c>
      <c r="F100">
        <f t="shared" si="3"/>
        <v>1.0725883163315511E-2</v>
      </c>
    </row>
    <row r="101" spans="1:6" x14ac:dyDescent="0.25">
      <c r="A101" t="s">
        <v>289</v>
      </c>
      <c r="B101" s="4">
        <v>42067</v>
      </c>
      <c r="C101">
        <f t="shared" si="2"/>
        <v>64</v>
      </c>
      <c r="D101">
        <v>91569</v>
      </c>
      <c r="E101">
        <v>210</v>
      </c>
      <c r="F101">
        <f t="shared" si="3"/>
        <v>2.2933525538118794E-3</v>
      </c>
    </row>
    <row r="102" spans="1:6" x14ac:dyDescent="0.25">
      <c r="A102" t="s">
        <v>290</v>
      </c>
      <c r="B102" s="4">
        <v>42131</v>
      </c>
      <c r="C102">
        <f t="shared" si="2"/>
        <v>47</v>
      </c>
      <c r="D102">
        <v>93749</v>
      </c>
      <c r="E102">
        <v>1112</v>
      </c>
      <c r="F102">
        <f t="shared" si="3"/>
        <v>1.1861459855571794E-2</v>
      </c>
    </row>
    <row r="103" spans="1:6" x14ac:dyDescent="0.25">
      <c r="A103" t="s">
        <v>291</v>
      </c>
      <c r="B103" s="4">
        <v>42178</v>
      </c>
      <c r="C103">
        <f t="shared" si="2"/>
        <v>31</v>
      </c>
      <c r="D103">
        <v>95784</v>
      </c>
      <c r="E103">
        <v>797</v>
      </c>
      <c r="F103">
        <f t="shared" si="3"/>
        <v>8.3208051449093802E-3</v>
      </c>
    </row>
    <row r="104" spans="1:6" x14ac:dyDescent="0.25">
      <c r="A104" t="s">
        <v>292</v>
      </c>
      <c r="B104" s="4">
        <v>42209</v>
      </c>
      <c r="C104">
        <f t="shared" si="2"/>
        <v>40</v>
      </c>
      <c r="D104">
        <v>96331</v>
      </c>
      <c r="E104">
        <v>242</v>
      </c>
      <c r="F104">
        <f t="shared" si="3"/>
        <v>2.5121715750900542E-3</v>
      </c>
    </row>
    <row r="105" spans="1:6" x14ac:dyDescent="0.25">
      <c r="A105" t="s">
        <v>293</v>
      </c>
      <c r="B105" s="4">
        <v>42249</v>
      </c>
      <c r="C105">
        <f t="shared" si="2"/>
        <v>28</v>
      </c>
      <c r="D105">
        <v>97363</v>
      </c>
      <c r="E105">
        <v>740</v>
      </c>
      <c r="F105">
        <f t="shared" si="3"/>
        <v>7.6004231586947815E-3</v>
      </c>
    </row>
    <row r="106" spans="1:6" x14ac:dyDescent="0.25">
      <c r="A106" t="s">
        <v>294</v>
      </c>
      <c r="B106" s="4">
        <v>42277</v>
      </c>
      <c r="C106">
        <f t="shared" si="2"/>
        <v>35</v>
      </c>
      <c r="D106">
        <v>97621</v>
      </c>
      <c r="E106">
        <v>310</v>
      </c>
      <c r="F106">
        <f t="shared" si="3"/>
        <v>3.1755462451726574E-3</v>
      </c>
    </row>
    <row r="107" spans="1:6" x14ac:dyDescent="0.25">
      <c r="A107" t="s">
        <v>295</v>
      </c>
      <c r="B107" s="4">
        <v>42312</v>
      </c>
      <c r="C107">
        <f t="shared" si="2"/>
        <v>86</v>
      </c>
      <c r="D107">
        <v>98566</v>
      </c>
      <c r="E107">
        <v>1087</v>
      </c>
      <c r="F107">
        <f t="shared" si="3"/>
        <v>1.1028143578921738E-2</v>
      </c>
    </row>
    <row r="108" spans="1:6" x14ac:dyDescent="0.25">
      <c r="A108" t="s">
        <v>296</v>
      </c>
      <c r="B108" s="4">
        <v>42398</v>
      </c>
      <c r="C108">
        <f t="shared" si="2"/>
        <v>52</v>
      </c>
      <c r="D108">
        <v>100945</v>
      </c>
      <c r="E108">
        <v>1199</v>
      </c>
      <c r="F108">
        <f t="shared" si="3"/>
        <v>1.187775521323493E-2</v>
      </c>
    </row>
    <row r="109" spans="1:6" x14ac:dyDescent="0.25">
      <c r="A109" t="s">
        <v>297</v>
      </c>
      <c r="B109" s="4">
        <v>42450</v>
      </c>
      <c r="C109">
        <f t="shared" si="2"/>
        <v>14</v>
      </c>
      <c r="D109">
        <v>102647</v>
      </c>
      <c r="E109">
        <v>908</v>
      </c>
      <c r="F109">
        <f t="shared" si="3"/>
        <v>8.8458503414615142E-3</v>
      </c>
    </row>
    <row r="110" spans="1:6" x14ac:dyDescent="0.25">
      <c r="A110" t="s">
        <v>298</v>
      </c>
      <c r="B110" s="4">
        <v>42464</v>
      </c>
      <c r="C110">
        <f t="shared" si="2"/>
        <v>64</v>
      </c>
      <c r="D110">
        <v>102689</v>
      </c>
      <c r="E110">
        <v>354</v>
      </c>
      <c r="F110">
        <f t="shared" si="3"/>
        <v>3.4473020479311319E-3</v>
      </c>
    </row>
    <row r="111" spans="1:6" x14ac:dyDescent="0.25">
      <c r="A111" t="s">
        <v>299</v>
      </c>
      <c r="B111" s="4">
        <v>42528</v>
      </c>
      <c r="C111">
        <f t="shared" si="2"/>
        <v>24</v>
      </c>
      <c r="D111">
        <v>103466</v>
      </c>
      <c r="E111">
        <v>1448</v>
      </c>
      <c r="F111">
        <f t="shared" si="3"/>
        <v>1.3994935534378443E-2</v>
      </c>
    </row>
    <row r="112" spans="1:6" x14ac:dyDescent="0.25">
      <c r="A112" t="s">
        <v>300</v>
      </c>
      <c r="B112" s="4">
        <v>42552</v>
      </c>
      <c r="C112">
        <f t="shared" si="2"/>
        <v>14</v>
      </c>
      <c r="D112">
        <v>103721</v>
      </c>
      <c r="E112">
        <v>1001</v>
      </c>
      <c r="F112">
        <f t="shared" si="3"/>
        <v>9.6508903693562544E-3</v>
      </c>
    </row>
    <row r="113" spans="1:6" x14ac:dyDescent="0.25">
      <c r="A113" t="s">
        <v>301</v>
      </c>
      <c r="B113" s="4">
        <v>42566</v>
      </c>
      <c r="C113">
        <f t="shared" si="2"/>
        <v>12</v>
      </c>
      <c r="D113">
        <v>104018</v>
      </c>
      <c r="E113">
        <v>307</v>
      </c>
      <c r="F113">
        <f t="shared" si="3"/>
        <v>2.9514122555711511E-3</v>
      </c>
    </row>
    <row r="114" spans="1:6" x14ac:dyDescent="0.25">
      <c r="A114" t="s">
        <v>302</v>
      </c>
      <c r="B114" s="4">
        <v>42578</v>
      </c>
      <c r="C114">
        <f t="shared" si="2"/>
        <v>33</v>
      </c>
      <c r="D114">
        <v>104044</v>
      </c>
      <c r="E114">
        <v>119</v>
      </c>
      <c r="F114">
        <f t="shared" si="3"/>
        <v>1.1437468763215563E-3</v>
      </c>
    </row>
    <row r="115" spans="1:6" x14ac:dyDescent="0.25">
      <c r="A115" t="s">
        <v>303</v>
      </c>
      <c r="B115" s="4">
        <v>42611</v>
      </c>
      <c r="C115">
        <f t="shared" si="2"/>
        <v>46</v>
      </c>
      <c r="D115">
        <v>104837</v>
      </c>
      <c r="E115">
        <v>715</v>
      </c>
      <c r="F115">
        <f t="shared" si="3"/>
        <v>6.8201112202752844E-3</v>
      </c>
    </row>
    <row r="116" spans="1:6" x14ac:dyDescent="0.25">
      <c r="A116" t="s">
        <v>304</v>
      </c>
      <c r="B116" s="4">
        <v>42657</v>
      </c>
      <c r="C116">
        <f t="shared" si="2"/>
        <v>90</v>
      </c>
      <c r="D116">
        <v>105202</v>
      </c>
      <c r="E116">
        <v>419</v>
      </c>
      <c r="F116">
        <f t="shared" si="3"/>
        <v>3.982814014942682E-3</v>
      </c>
    </row>
    <row r="117" spans="1:6" x14ac:dyDescent="0.25">
      <c r="A117" t="s">
        <v>305</v>
      </c>
      <c r="B117" s="4">
        <v>42747</v>
      </c>
      <c r="C117">
        <f t="shared" si="2"/>
        <v>18</v>
      </c>
      <c r="D117">
        <v>105446</v>
      </c>
      <c r="E117">
        <v>842</v>
      </c>
      <c r="F117">
        <f t="shared" si="3"/>
        <v>7.9851298294861817E-3</v>
      </c>
    </row>
    <row r="118" spans="1:6" x14ac:dyDescent="0.25">
      <c r="A118" t="s">
        <v>306</v>
      </c>
      <c r="B118" s="4">
        <v>42765</v>
      </c>
      <c r="C118">
        <f t="shared" si="2"/>
        <v>39</v>
      </c>
      <c r="D118">
        <v>105781</v>
      </c>
      <c r="E118">
        <v>311</v>
      </c>
      <c r="F118">
        <f t="shared" si="3"/>
        <v>2.9400364904850589E-3</v>
      </c>
    </row>
    <row r="119" spans="1:6" x14ac:dyDescent="0.25">
      <c r="A119" t="s">
        <v>307</v>
      </c>
      <c r="B119" s="4">
        <v>42804</v>
      </c>
      <c r="C119">
        <f t="shared" si="2"/>
        <v>51</v>
      </c>
      <c r="D119">
        <v>99665</v>
      </c>
      <c r="E119">
        <v>1555</v>
      </c>
      <c r="F119">
        <f t="shared" si="3"/>
        <v>1.5602267596448101E-2</v>
      </c>
    </row>
    <row r="120" spans="1:6" x14ac:dyDescent="0.25">
      <c r="A120" t="s">
        <v>308</v>
      </c>
      <c r="B120" s="4">
        <v>42855</v>
      </c>
      <c r="C120">
        <f t="shared" si="2"/>
        <v>12</v>
      </c>
      <c r="D120">
        <v>100917</v>
      </c>
      <c r="E120">
        <v>878</v>
      </c>
      <c r="F120">
        <f t="shared" si="3"/>
        <v>8.7002189918447825E-3</v>
      </c>
    </row>
    <row r="121" spans="1:6" x14ac:dyDescent="0.25">
      <c r="A121" t="s">
        <v>309</v>
      </c>
      <c r="B121" s="4">
        <v>42867</v>
      </c>
      <c r="C121">
        <f t="shared" si="2"/>
        <v>28</v>
      </c>
      <c r="D121">
        <v>100947</v>
      </c>
      <c r="E121">
        <v>122</v>
      </c>
      <c r="F121">
        <f t="shared" si="3"/>
        <v>1.2085549842986913E-3</v>
      </c>
    </row>
    <row r="122" spans="1:6" x14ac:dyDescent="0.25">
      <c r="A122" t="s">
        <v>310</v>
      </c>
      <c r="B122" s="4">
        <v>42895</v>
      </c>
      <c r="C122">
        <f t="shared" si="2"/>
        <v>27</v>
      </c>
      <c r="D122">
        <v>101023</v>
      </c>
      <c r="E122">
        <v>455</v>
      </c>
      <c r="F122">
        <f t="shared" si="3"/>
        <v>4.5039248487968083E-3</v>
      </c>
    </row>
    <row r="123" spans="1:6" x14ac:dyDescent="0.25">
      <c r="A123" t="s">
        <v>311</v>
      </c>
      <c r="B123" s="4">
        <v>42922</v>
      </c>
      <c r="C123">
        <f t="shared" si="2"/>
        <v>28</v>
      </c>
      <c r="D123">
        <v>101204</v>
      </c>
      <c r="E123">
        <v>216</v>
      </c>
      <c r="F123">
        <f t="shared" si="3"/>
        <v>2.1343029919766018E-3</v>
      </c>
    </row>
    <row r="124" spans="1:6" x14ac:dyDescent="0.25">
      <c r="A124" t="s">
        <v>312</v>
      </c>
      <c r="B124" s="4">
        <v>42950</v>
      </c>
      <c r="C124">
        <f t="shared" si="2"/>
        <v>22</v>
      </c>
      <c r="D124">
        <v>101494</v>
      </c>
      <c r="E124">
        <v>462</v>
      </c>
      <c r="F124">
        <f t="shared" si="3"/>
        <v>4.5519932212741638E-3</v>
      </c>
    </row>
    <row r="125" spans="1:6" x14ac:dyDescent="0.25">
      <c r="A125" t="s">
        <v>313</v>
      </c>
      <c r="B125" s="4">
        <v>42972</v>
      </c>
      <c r="C125">
        <f t="shared" si="2"/>
        <v>31</v>
      </c>
      <c r="D125">
        <v>102003</v>
      </c>
      <c r="E125">
        <v>418</v>
      </c>
      <c r="F125">
        <f t="shared" si="3"/>
        <v>4.0979186886660199E-3</v>
      </c>
    </row>
    <row r="126" spans="1:6" x14ac:dyDescent="0.25">
      <c r="A126" t="s">
        <v>314</v>
      </c>
      <c r="B126" s="4">
        <v>43003</v>
      </c>
      <c r="C126">
        <f t="shared" si="2"/>
        <v>44</v>
      </c>
      <c r="D126">
        <v>102104</v>
      </c>
      <c r="E126">
        <v>316</v>
      </c>
      <c r="F126">
        <f t="shared" si="3"/>
        <v>3.0948836480451302E-3</v>
      </c>
    </row>
    <row r="127" spans="1:6" x14ac:dyDescent="0.25">
      <c r="A127" t="s">
        <v>315</v>
      </c>
      <c r="B127" s="4">
        <v>43047</v>
      </c>
      <c r="C127">
        <f t="shared" si="2"/>
        <v>33</v>
      </c>
      <c r="D127">
        <v>102338</v>
      </c>
      <c r="E127">
        <v>405</v>
      </c>
      <c r="F127">
        <f t="shared" si="3"/>
        <v>3.9574742519885089E-3</v>
      </c>
    </row>
    <row r="128" spans="1:6" x14ac:dyDescent="0.25">
      <c r="A128" t="s">
        <v>316</v>
      </c>
      <c r="B128" s="4">
        <v>43080</v>
      </c>
      <c r="C128">
        <f t="shared" si="2"/>
        <v>42</v>
      </c>
      <c r="D128">
        <v>102398</v>
      </c>
      <c r="E128">
        <v>148</v>
      </c>
      <c r="F128">
        <f t="shared" si="3"/>
        <v>1.4453407293111193E-3</v>
      </c>
    </row>
    <row r="129" spans="1:6" x14ac:dyDescent="0.25">
      <c r="A129" t="s">
        <v>317</v>
      </c>
      <c r="B129" s="4">
        <v>43122</v>
      </c>
      <c r="C129">
        <f t="shared" si="2"/>
        <v>15</v>
      </c>
      <c r="D129">
        <v>102562</v>
      </c>
      <c r="E129">
        <v>142</v>
      </c>
      <c r="F129">
        <f t="shared" si="3"/>
        <v>1.3845283828318481E-3</v>
      </c>
    </row>
    <row r="130" spans="1:6" x14ac:dyDescent="0.25">
      <c r="A130" t="s">
        <v>318</v>
      </c>
      <c r="B130" s="4">
        <v>43137</v>
      </c>
      <c r="D130">
        <v>102654</v>
      </c>
      <c r="E130">
        <v>131</v>
      </c>
      <c r="F130">
        <f t="shared" si="3"/>
        <v>1.2761314707658738E-3</v>
      </c>
    </row>
    <row r="131" spans="1:6" x14ac:dyDescent="0.25">
      <c r="A131" t="s">
        <v>319</v>
      </c>
      <c r="B131" s="4">
        <v>42516</v>
      </c>
      <c r="C131">
        <f t="shared" si="2"/>
        <v>12</v>
      </c>
      <c r="D131">
        <v>151190</v>
      </c>
      <c r="E131">
        <v>12434</v>
      </c>
      <c r="F131">
        <f t="shared" si="3"/>
        <v>8.2240888947681723E-2</v>
      </c>
    </row>
    <row r="132" spans="1:6" x14ac:dyDescent="0.25">
      <c r="A132" t="s">
        <v>320</v>
      </c>
      <c r="B132" s="4">
        <v>42528</v>
      </c>
      <c r="C132">
        <f t="shared" si="2"/>
        <v>24</v>
      </c>
      <c r="D132">
        <v>151390</v>
      </c>
      <c r="E132">
        <v>337</v>
      </c>
      <c r="F132">
        <f t="shared" si="3"/>
        <v>2.2260387079727855E-3</v>
      </c>
    </row>
    <row r="133" spans="1:6" x14ac:dyDescent="0.25">
      <c r="A133" t="s">
        <v>321</v>
      </c>
      <c r="B133" s="4">
        <v>42552</v>
      </c>
      <c r="C133">
        <f t="shared" si="2"/>
        <v>14</v>
      </c>
      <c r="D133">
        <v>151899</v>
      </c>
      <c r="E133">
        <v>1892</v>
      </c>
      <c r="F133">
        <f t="shared" si="3"/>
        <v>1.2455644869288145E-2</v>
      </c>
    </row>
    <row r="134" spans="1:6" x14ac:dyDescent="0.25">
      <c r="A134" t="s">
        <v>322</v>
      </c>
      <c r="B134" s="4">
        <v>42566</v>
      </c>
      <c r="C134">
        <f t="shared" si="2"/>
        <v>12</v>
      </c>
      <c r="D134">
        <v>152385</v>
      </c>
      <c r="E134">
        <v>433</v>
      </c>
      <c r="F134">
        <f t="shared" si="3"/>
        <v>2.8414870230009516E-3</v>
      </c>
    </row>
    <row r="135" spans="1:6" x14ac:dyDescent="0.25">
      <c r="A135" t="s">
        <v>323</v>
      </c>
      <c r="B135" s="4">
        <v>42578</v>
      </c>
      <c r="C135">
        <f t="shared" ref="C135:C162" si="4">DATEDIF(B135,B136,"d")</f>
        <v>33</v>
      </c>
      <c r="D135">
        <v>152506</v>
      </c>
      <c r="E135">
        <v>283</v>
      </c>
      <c r="F135">
        <f t="shared" si="3"/>
        <v>1.8556646951595347E-3</v>
      </c>
    </row>
    <row r="136" spans="1:6" x14ac:dyDescent="0.25">
      <c r="A136" t="s">
        <v>324</v>
      </c>
      <c r="B136" s="4">
        <v>42611</v>
      </c>
      <c r="C136">
        <f t="shared" si="4"/>
        <v>46</v>
      </c>
      <c r="D136">
        <v>153425</v>
      </c>
      <c r="E136">
        <v>1219</v>
      </c>
      <c r="F136">
        <f t="shared" ref="F136:F163" si="5">E136/D136</f>
        <v>7.945250122209549E-3</v>
      </c>
    </row>
    <row r="137" spans="1:6" x14ac:dyDescent="0.25">
      <c r="A137" t="s">
        <v>325</v>
      </c>
      <c r="B137" s="4">
        <v>42657</v>
      </c>
      <c r="C137">
        <f t="shared" si="4"/>
        <v>90</v>
      </c>
      <c r="D137">
        <v>154708</v>
      </c>
      <c r="E137">
        <v>1321</v>
      </c>
      <c r="F137">
        <f t="shared" si="5"/>
        <v>8.5386663908783005E-3</v>
      </c>
    </row>
    <row r="138" spans="1:6" x14ac:dyDescent="0.25">
      <c r="A138" t="s">
        <v>326</v>
      </c>
      <c r="B138" s="4">
        <v>42747</v>
      </c>
      <c r="C138">
        <f t="shared" si="4"/>
        <v>18</v>
      </c>
      <c r="D138">
        <v>156898</v>
      </c>
      <c r="E138">
        <v>1490</v>
      </c>
      <c r="F138">
        <f t="shared" si="5"/>
        <v>9.4966156356358911E-3</v>
      </c>
    </row>
    <row r="139" spans="1:6" x14ac:dyDescent="0.25">
      <c r="A139" t="s">
        <v>327</v>
      </c>
      <c r="B139" s="4">
        <v>42765</v>
      </c>
      <c r="C139">
        <f t="shared" si="4"/>
        <v>39</v>
      </c>
      <c r="D139">
        <v>154798</v>
      </c>
      <c r="E139">
        <v>2688</v>
      </c>
      <c r="F139">
        <f t="shared" si="5"/>
        <v>1.7364565433661935E-2</v>
      </c>
    </row>
    <row r="140" spans="1:6" x14ac:dyDescent="0.25">
      <c r="A140" t="s">
        <v>328</v>
      </c>
      <c r="B140" s="4">
        <v>42804</v>
      </c>
      <c r="C140">
        <f t="shared" si="4"/>
        <v>51</v>
      </c>
      <c r="D140">
        <v>152840</v>
      </c>
      <c r="E140">
        <v>2684</v>
      </c>
      <c r="F140">
        <f t="shared" si="5"/>
        <v>1.7560847945563989E-2</v>
      </c>
    </row>
    <row r="141" spans="1:6" x14ac:dyDescent="0.25">
      <c r="A141" t="s">
        <v>329</v>
      </c>
      <c r="B141" s="4">
        <v>42855</v>
      </c>
      <c r="C141">
        <f t="shared" si="4"/>
        <v>12</v>
      </c>
      <c r="D141">
        <v>154504</v>
      </c>
      <c r="E141">
        <v>1463</v>
      </c>
      <c r="F141">
        <f t="shared" si="5"/>
        <v>9.4690105110547297E-3</v>
      </c>
    </row>
    <row r="142" spans="1:6" x14ac:dyDescent="0.25">
      <c r="A142" t="s">
        <v>330</v>
      </c>
      <c r="B142" s="4">
        <v>42867</v>
      </c>
      <c r="C142">
        <f t="shared" si="4"/>
        <v>28</v>
      </c>
      <c r="D142">
        <v>158671</v>
      </c>
      <c r="E142">
        <v>764</v>
      </c>
      <c r="F142">
        <f t="shared" si="5"/>
        <v>4.8149945484682139E-3</v>
      </c>
    </row>
    <row r="143" spans="1:6" x14ac:dyDescent="0.25">
      <c r="A143" t="s">
        <v>331</v>
      </c>
      <c r="B143" s="4">
        <v>42895</v>
      </c>
      <c r="C143">
        <f t="shared" si="4"/>
        <v>27</v>
      </c>
      <c r="D143">
        <v>158769</v>
      </c>
      <c r="E143">
        <v>549</v>
      </c>
      <c r="F143">
        <f t="shared" si="5"/>
        <v>3.4578538631596847E-3</v>
      </c>
    </row>
    <row r="144" spans="1:6" x14ac:dyDescent="0.25">
      <c r="A144" t="s">
        <v>332</v>
      </c>
      <c r="B144" s="4">
        <v>42922</v>
      </c>
      <c r="C144">
        <f t="shared" si="4"/>
        <v>28</v>
      </c>
      <c r="D144">
        <v>159134</v>
      </c>
      <c r="E144">
        <v>753</v>
      </c>
      <c r="F144">
        <f t="shared" si="5"/>
        <v>4.7318611987381704E-3</v>
      </c>
    </row>
    <row r="145" spans="1:6" x14ac:dyDescent="0.25">
      <c r="A145" t="s">
        <v>333</v>
      </c>
      <c r="B145" s="4">
        <v>42950</v>
      </c>
      <c r="C145">
        <f t="shared" si="4"/>
        <v>22</v>
      </c>
      <c r="D145">
        <v>159883</v>
      </c>
      <c r="E145">
        <v>852</v>
      </c>
      <c r="F145">
        <f t="shared" si="5"/>
        <v>5.3288967557526441E-3</v>
      </c>
    </row>
    <row r="146" spans="1:6" x14ac:dyDescent="0.25">
      <c r="A146" t="s">
        <v>334</v>
      </c>
      <c r="B146" s="4">
        <v>42972</v>
      </c>
      <c r="C146">
        <f t="shared" si="4"/>
        <v>31</v>
      </c>
      <c r="D146">
        <v>161497</v>
      </c>
      <c r="E146">
        <v>1680</v>
      </c>
      <c r="F146">
        <f t="shared" si="5"/>
        <v>1.0402670018638116E-2</v>
      </c>
    </row>
    <row r="147" spans="1:6" x14ac:dyDescent="0.25">
      <c r="A147" t="s">
        <v>335</v>
      </c>
      <c r="B147" s="4">
        <v>43003</v>
      </c>
      <c r="C147">
        <f t="shared" si="4"/>
        <v>44</v>
      </c>
      <c r="D147">
        <v>161870</v>
      </c>
      <c r="E147">
        <v>538</v>
      </c>
      <c r="F147">
        <f t="shared" si="5"/>
        <v>3.3236547847037747E-3</v>
      </c>
    </row>
    <row r="148" spans="1:6" x14ac:dyDescent="0.25">
      <c r="A148" t="s">
        <v>336</v>
      </c>
      <c r="B148" s="4">
        <v>43047</v>
      </c>
      <c r="C148">
        <f t="shared" si="4"/>
        <v>33</v>
      </c>
      <c r="D148">
        <v>162564</v>
      </c>
      <c r="E148">
        <v>680</v>
      </c>
      <c r="F148">
        <f t="shared" si="5"/>
        <v>4.1829679387810339E-3</v>
      </c>
    </row>
    <row r="149" spans="1:6" x14ac:dyDescent="0.25">
      <c r="A149" t="s">
        <v>337</v>
      </c>
      <c r="B149" s="4">
        <v>43080</v>
      </c>
      <c r="C149">
        <f t="shared" si="4"/>
        <v>4</v>
      </c>
      <c r="D149">
        <v>162885</v>
      </c>
      <c r="E149">
        <v>860</v>
      </c>
      <c r="F149">
        <f t="shared" si="5"/>
        <v>5.2797986309359368E-3</v>
      </c>
    </row>
    <row r="150" spans="1:6" x14ac:dyDescent="0.25">
      <c r="A150" t="s">
        <v>338</v>
      </c>
      <c r="B150" s="4">
        <v>43084</v>
      </c>
      <c r="C150">
        <f t="shared" si="4"/>
        <v>38</v>
      </c>
      <c r="D150">
        <v>162923</v>
      </c>
      <c r="E150">
        <v>51</v>
      </c>
      <c r="F150">
        <f t="shared" si="5"/>
        <v>3.130313092687957E-4</v>
      </c>
    </row>
    <row r="151" spans="1:6" x14ac:dyDescent="0.25">
      <c r="A151" t="s">
        <v>339</v>
      </c>
      <c r="B151" s="4">
        <v>43122</v>
      </c>
      <c r="C151">
        <f t="shared" si="4"/>
        <v>14</v>
      </c>
      <c r="D151">
        <v>163104</v>
      </c>
      <c r="E151">
        <v>310</v>
      </c>
      <c r="F151">
        <f t="shared" si="5"/>
        <v>1.9006278202864429E-3</v>
      </c>
    </row>
    <row r="152" spans="1:6" x14ac:dyDescent="0.25">
      <c r="A152" t="s">
        <v>340</v>
      </c>
      <c r="B152" s="4">
        <v>43136</v>
      </c>
      <c r="C152">
        <f t="shared" si="4"/>
        <v>16</v>
      </c>
      <c r="D152">
        <v>163286</v>
      </c>
      <c r="E152">
        <v>506</v>
      </c>
      <c r="F152">
        <f t="shared" si="5"/>
        <v>3.0988572198473842E-3</v>
      </c>
    </row>
    <row r="153" spans="1:6" x14ac:dyDescent="0.25">
      <c r="A153" t="s">
        <v>341</v>
      </c>
      <c r="B153" s="4">
        <v>43152</v>
      </c>
      <c r="C153">
        <f t="shared" si="4"/>
        <v>42</v>
      </c>
      <c r="D153">
        <v>163375</v>
      </c>
      <c r="E153">
        <v>354</v>
      </c>
      <c r="F153">
        <f t="shared" si="5"/>
        <v>2.1667941851568479E-3</v>
      </c>
    </row>
    <row r="154" spans="1:6" x14ac:dyDescent="0.25">
      <c r="A154" t="s">
        <v>342</v>
      </c>
      <c r="B154" s="4">
        <v>43194</v>
      </c>
      <c r="C154">
        <f t="shared" si="4"/>
        <v>15</v>
      </c>
      <c r="D154">
        <v>163713</v>
      </c>
      <c r="E154">
        <v>378</v>
      </c>
      <c r="F154">
        <f t="shared" si="5"/>
        <v>2.3089186564292392E-3</v>
      </c>
    </row>
    <row r="155" spans="1:6" x14ac:dyDescent="0.25">
      <c r="A155" t="s">
        <v>343</v>
      </c>
      <c r="B155" s="4">
        <v>43209</v>
      </c>
      <c r="C155">
        <f t="shared" si="4"/>
        <v>25</v>
      </c>
      <c r="D155">
        <v>163755</v>
      </c>
      <c r="E155">
        <v>147</v>
      </c>
      <c r="F155">
        <f t="shared" si="5"/>
        <v>8.9768251351103785E-4</v>
      </c>
    </row>
    <row r="156" spans="1:6" x14ac:dyDescent="0.25">
      <c r="A156" t="s">
        <v>344</v>
      </c>
      <c r="B156" s="4">
        <v>43234</v>
      </c>
      <c r="C156">
        <f t="shared" si="4"/>
        <v>57</v>
      </c>
      <c r="D156">
        <v>163931</v>
      </c>
      <c r="E156">
        <v>189</v>
      </c>
      <c r="F156">
        <f t="shared" si="5"/>
        <v>1.1529240961136089E-3</v>
      </c>
    </row>
    <row r="157" spans="1:6" x14ac:dyDescent="0.25">
      <c r="A157" t="s">
        <v>345</v>
      </c>
      <c r="B157" s="4">
        <v>43291</v>
      </c>
      <c r="C157">
        <f t="shared" si="4"/>
        <v>1</v>
      </c>
      <c r="D157">
        <v>164530</v>
      </c>
      <c r="E157">
        <v>776</v>
      </c>
      <c r="F157">
        <f t="shared" si="5"/>
        <v>4.7164650823558014E-3</v>
      </c>
    </row>
    <row r="158" spans="1:6" x14ac:dyDescent="0.25">
      <c r="A158" t="s">
        <v>346</v>
      </c>
      <c r="B158" s="4">
        <v>43292</v>
      </c>
      <c r="C158">
        <f t="shared" si="4"/>
        <v>16</v>
      </c>
      <c r="D158">
        <v>164537</v>
      </c>
      <c r="E158">
        <v>31</v>
      </c>
      <c r="F158">
        <f t="shared" si="5"/>
        <v>1.8840747066009469E-4</v>
      </c>
    </row>
    <row r="159" spans="1:6" x14ac:dyDescent="0.25">
      <c r="A159" t="s">
        <v>347</v>
      </c>
      <c r="B159" s="4">
        <v>43308</v>
      </c>
      <c r="C159">
        <f t="shared" si="4"/>
        <v>28</v>
      </c>
      <c r="D159">
        <v>164652</v>
      </c>
      <c r="E159">
        <v>119</v>
      </c>
      <c r="F159">
        <f t="shared" si="5"/>
        <v>7.2273643806330923E-4</v>
      </c>
    </row>
    <row r="160" spans="1:6" x14ac:dyDescent="0.25">
      <c r="A160" t="s">
        <v>348</v>
      </c>
      <c r="B160" s="4">
        <v>43336</v>
      </c>
      <c r="C160">
        <f t="shared" si="4"/>
        <v>34</v>
      </c>
      <c r="D160">
        <v>165553</v>
      </c>
      <c r="E160">
        <v>397</v>
      </c>
      <c r="F160">
        <f t="shared" si="5"/>
        <v>2.3980235936527879E-3</v>
      </c>
    </row>
    <row r="161" spans="1:6" x14ac:dyDescent="0.25">
      <c r="A161" t="s">
        <v>349</v>
      </c>
      <c r="B161" s="4">
        <v>43370</v>
      </c>
      <c r="C161">
        <f t="shared" si="4"/>
        <v>33</v>
      </c>
      <c r="D161">
        <v>166622</v>
      </c>
      <c r="E161">
        <v>469</v>
      </c>
      <c r="F161">
        <f t="shared" si="5"/>
        <v>2.8147543541669168E-3</v>
      </c>
    </row>
    <row r="162" spans="1:6" x14ac:dyDescent="0.25">
      <c r="A162" t="s">
        <v>350</v>
      </c>
      <c r="B162" s="4">
        <v>43403</v>
      </c>
      <c r="C162">
        <f t="shared" si="4"/>
        <v>30</v>
      </c>
      <c r="D162">
        <v>167458</v>
      </c>
      <c r="E162">
        <v>740</v>
      </c>
      <c r="F162">
        <f t="shared" si="5"/>
        <v>4.4190185001612347E-3</v>
      </c>
    </row>
    <row r="163" spans="1:6" x14ac:dyDescent="0.25">
      <c r="A163" t="s">
        <v>351</v>
      </c>
      <c r="B163" s="4">
        <v>43433</v>
      </c>
      <c r="D163">
        <v>167961</v>
      </c>
      <c r="E163">
        <v>1053</v>
      </c>
      <c r="F163">
        <f t="shared" si="5"/>
        <v>6.2693125189776195E-3</v>
      </c>
    </row>
    <row r="164" spans="1:6" x14ac:dyDescent="0.25">
      <c r="D164">
        <f>SUM(D74:D163)</f>
        <v>10396494</v>
      </c>
    </row>
  </sheetData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0D133-96CB-48BC-AABB-54F1107B28D5}">
  <dimension ref="A1:F29"/>
  <sheetViews>
    <sheetView topLeftCell="A27" workbookViewId="0">
      <selection activeCell="D29" sqref="D29"/>
    </sheetView>
  </sheetViews>
  <sheetFormatPr defaultRowHeight="15" x14ac:dyDescent="0.25"/>
  <cols>
    <col min="2" max="2" width="12.28515625" customWidth="1"/>
  </cols>
  <sheetData>
    <row r="1" spans="1:6" x14ac:dyDescent="0.25">
      <c r="B1" s="1"/>
      <c r="C1" t="s">
        <v>0</v>
      </c>
      <c r="D1" t="s">
        <v>210</v>
      </c>
      <c r="E1" s="5" t="s">
        <v>440</v>
      </c>
      <c r="F1" s="5" t="s">
        <v>441</v>
      </c>
    </row>
    <row r="2" spans="1:6" x14ac:dyDescent="0.25">
      <c r="B2" s="1" t="s">
        <v>1</v>
      </c>
      <c r="C2">
        <f>AVERAGE(C6:C27)</f>
        <v>240.9</v>
      </c>
      <c r="D2">
        <f>AVERAGE(D6:D28)</f>
        <v>574003.21739130432</v>
      </c>
      <c r="E2">
        <f>AVERAGE(E7:E28)</f>
        <v>12573.09090909091</v>
      </c>
      <c r="F2">
        <f>AVERAGE(F7:F28)</f>
        <v>2.2802567202369929E-2</v>
      </c>
    </row>
    <row r="3" spans="1:6" x14ac:dyDescent="0.25">
      <c r="B3" s="1" t="s">
        <v>2</v>
      </c>
      <c r="C3">
        <f>MEDIAN(C6:C27)</f>
        <v>206</v>
      </c>
      <c r="D3">
        <f>MEDIAN(D6:D28)</f>
        <v>613782</v>
      </c>
      <c r="E3">
        <f>MEDIAN(E7:E28)</f>
        <v>5118.5</v>
      </c>
      <c r="F3">
        <f>MEDIAN(F7:F28)</f>
        <v>8.5466821118127673E-3</v>
      </c>
    </row>
    <row r="4" spans="1:6" x14ac:dyDescent="0.25">
      <c r="B4" s="1" t="s">
        <v>3</v>
      </c>
      <c r="C4">
        <f>STDEV(C6:C27)</f>
        <v>151.25784886115915</v>
      </c>
      <c r="D4">
        <f>STDEV(D6:D28)</f>
        <v>97925.584512822126</v>
      </c>
      <c r="E4">
        <f>STDEV(E7:E28)</f>
        <v>14454.10317393544</v>
      </c>
      <c r="F4">
        <f>STDEV(F7:F28)</f>
        <v>2.8725433436362056E-2</v>
      </c>
    </row>
    <row r="5" spans="1:6" x14ac:dyDescent="0.25">
      <c r="A5" t="s">
        <v>4</v>
      </c>
      <c r="B5" s="1" t="s">
        <v>5</v>
      </c>
    </row>
    <row r="6" spans="1:6" x14ac:dyDescent="0.25">
      <c r="A6" t="s">
        <v>355</v>
      </c>
      <c r="B6" s="4">
        <v>38567</v>
      </c>
      <c r="C6">
        <f>DATEDIF(B6,B7,"d")</f>
        <v>97</v>
      </c>
      <c r="D6">
        <v>391810</v>
      </c>
    </row>
    <row r="7" spans="1:6" x14ac:dyDescent="0.25">
      <c r="A7" t="s">
        <v>356</v>
      </c>
      <c r="B7" s="4">
        <v>38664</v>
      </c>
      <c r="C7">
        <f t="shared" ref="C7:C27" si="0">DATEDIF(B7,B8,"d")</f>
        <v>234</v>
      </c>
      <c r="D7">
        <v>393664</v>
      </c>
      <c r="E7">
        <v>7573</v>
      </c>
      <c r="F7">
        <f>E7/D7</f>
        <v>1.9237217525605591E-2</v>
      </c>
    </row>
    <row r="8" spans="1:6" x14ac:dyDescent="0.25">
      <c r="A8" t="s">
        <v>357</v>
      </c>
      <c r="B8" s="4">
        <v>38898</v>
      </c>
      <c r="C8">
        <f t="shared" si="0"/>
        <v>94</v>
      </c>
      <c r="D8">
        <v>398353</v>
      </c>
      <c r="E8">
        <v>3317</v>
      </c>
      <c r="F8">
        <f t="shared" ref="F8:F28" si="1">E8/D8</f>
        <v>8.3267855394587205E-3</v>
      </c>
    </row>
    <row r="9" spans="1:6" x14ac:dyDescent="0.25">
      <c r="A9" t="s">
        <v>439</v>
      </c>
      <c r="B9" s="4">
        <v>38992</v>
      </c>
      <c r="C9">
        <f t="shared" si="0"/>
        <v>71</v>
      </c>
      <c r="D9">
        <v>451483</v>
      </c>
      <c r="E9">
        <v>54907</v>
      </c>
      <c r="F9">
        <f t="shared" si="1"/>
        <v>0.12161476733343227</v>
      </c>
    </row>
    <row r="10" spans="1:6" x14ac:dyDescent="0.25">
      <c r="A10" t="s">
        <v>358</v>
      </c>
      <c r="B10" s="4">
        <v>39063</v>
      </c>
      <c r="C10">
        <f t="shared" si="0"/>
        <v>517</v>
      </c>
      <c r="D10">
        <v>451591</v>
      </c>
      <c r="E10">
        <v>3839</v>
      </c>
      <c r="F10">
        <f t="shared" si="1"/>
        <v>8.5010551583180362E-3</v>
      </c>
    </row>
    <row r="11" spans="1:6" x14ac:dyDescent="0.25">
      <c r="A11" t="s">
        <v>360</v>
      </c>
      <c r="B11" s="4">
        <v>39580</v>
      </c>
      <c r="D11">
        <v>505093</v>
      </c>
      <c r="E11">
        <v>32772</v>
      </c>
      <c r="F11">
        <f t="shared" si="1"/>
        <v>6.4883100735904087E-2</v>
      </c>
    </row>
    <row r="12" spans="1:6" x14ac:dyDescent="0.25">
      <c r="A12" t="s">
        <v>359</v>
      </c>
      <c r="B12" s="4">
        <v>39562</v>
      </c>
      <c r="C12">
        <f t="shared" si="0"/>
        <v>134</v>
      </c>
      <c r="D12">
        <v>535262</v>
      </c>
      <c r="E12">
        <v>19825</v>
      </c>
      <c r="F12">
        <f t="shared" si="1"/>
        <v>3.7037936561908E-2</v>
      </c>
    </row>
    <row r="13" spans="1:6" x14ac:dyDescent="0.25">
      <c r="A13" t="s">
        <v>361</v>
      </c>
      <c r="B13" s="4">
        <v>39696</v>
      </c>
      <c r="C13">
        <f t="shared" si="0"/>
        <v>235</v>
      </c>
      <c r="D13">
        <v>537769</v>
      </c>
      <c r="E13">
        <v>2513</v>
      </c>
      <c r="F13">
        <f t="shared" si="1"/>
        <v>4.6730101586368866E-3</v>
      </c>
    </row>
    <row r="14" spans="1:6" x14ac:dyDescent="0.25">
      <c r="A14" t="s">
        <v>362</v>
      </c>
      <c r="B14" s="4">
        <v>39931</v>
      </c>
      <c r="C14">
        <f t="shared" si="0"/>
        <v>115</v>
      </c>
      <c r="D14">
        <v>570702</v>
      </c>
      <c r="E14">
        <v>15281</v>
      </c>
      <c r="F14">
        <f t="shared" si="1"/>
        <v>2.6775795423881466E-2</v>
      </c>
    </row>
    <row r="15" spans="1:6" x14ac:dyDescent="0.25">
      <c r="A15" t="s">
        <v>363</v>
      </c>
      <c r="B15" s="4">
        <v>40046</v>
      </c>
      <c r="C15">
        <f t="shared" si="0"/>
        <v>271</v>
      </c>
      <c r="D15">
        <v>579725</v>
      </c>
      <c r="E15">
        <v>2136</v>
      </c>
      <c r="F15">
        <f t="shared" si="1"/>
        <v>3.6845055845443962E-3</v>
      </c>
    </row>
    <row r="16" spans="1:6" x14ac:dyDescent="0.25">
      <c r="A16" t="s">
        <v>364</v>
      </c>
      <c r="B16" s="4">
        <v>40317</v>
      </c>
      <c r="C16">
        <f t="shared" si="0"/>
        <v>139</v>
      </c>
      <c r="D16">
        <v>617986</v>
      </c>
      <c r="E16">
        <v>19602</v>
      </c>
      <c r="F16">
        <f t="shared" si="1"/>
        <v>3.1719165159081276E-2</v>
      </c>
    </row>
    <row r="17" spans="1:6" x14ac:dyDescent="0.25">
      <c r="A17" t="s">
        <v>365</v>
      </c>
      <c r="B17" s="4">
        <v>40456</v>
      </c>
      <c r="C17">
        <f t="shared" si="0"/>
        <v>40</v>
      </c>
      <c r="D17">
        <v>637669</v>
      </c>
      <c r="E17">
        <v>1628</v>
      </c>
      <c r="F17">
        <f t="shared" si="1"/>
        <v>2.5530486819964589E-3</v>
      </c>
    </row>
    <row r="18" spans="1:6" x14ac:dyDescent="0.25">
      <c r="A18" t="s">
        <v>366</v>
      </c>
      <c r="B18" s="4">
        <v>40496</v>
      </c>
      <c r="C18">
        <f t="shared" si="0"/>
        <v>166</v>
      </c>
      <c r="D18">
        <v>605076</v>
      </c>
      <c r="E18">
        <v>5199</v>
      </c>
      <c r="F18">
        <f t="shared" si="1"/>
        <v>8.5923090653074984E-3</v>
      </c>
    </row>
    <row r="19" spans="1:6" x14ac:dyDescent="0.25">
      <c r="A19" t="s">
        <v>367</v>
      </c>
      <c r="B19" s="4">
        <v>40662</v>
      </c>
      <c r="C19">
        <f t="shared" si="0"/>
        <v>178</v>
      </c>
      <c r="D19">
        <v>613782</v>
      </c>
      <c r="E19">
        <v>4134</v>
      </c>
      <c r="F19">
        <f t="shared" si="1"/>
        <v>6.7352903799720422E-3</v>
      </c>
    </row>
    <row r="20" spans="1:6" x14ac:dyDescent="0.25">
      <c r="A20" t="s">
        <v>368</v>
      </c>
      <c r="B20" s="4">
        <v>40840</v>
      </c>
      <c r="C20">
        <f t="shared" si="0"/>
        <v>389</v>
      </c>
      <c r="D20">
        <v>617878</v>
      </c>
      <c r="E20">
        <v>1649</v>
      </c>
      <c r="F20">
        <f t="shared" si="1"/>
        <v>2.6688116424277934E-3</v>
      </c>
    </row>
    <row r="21" spans="1:6" x14ac:dyDescent="0.25">
      <c r="A21" t="s">
        <v>369</v>
      </c>
      <c r="B21" s="4">
        <v>41229</v>
      </c>
      <c r="D21">
        <v>629118</v>
      </c>
      <c r="E21">
        <v>1213</v>
      </c>
      <c r="F21">
        <f t="shared" si="1"/>
        <v>1.9280961600208547E-3</v>
      </c>
    </row>
    <row r="22" spans="1:6" x14ac:dyDescent="0.25">
      <c r="A22" t="s">
        <v>370</v>
      </c>
      <c r="B22" s="4">
        <v>41085</v>
      </c>
      <c r="C22">
        <f t="shared" si="0"/>
        <v>294</v>
      </c>
      <c r="D22">
        <v>631499</v>
      </c>
      <c r="E22">
        <v>14020</v>
      </c>
      <c r="F22">
        <f t="shared" si="1"/>
        <v>2.2201143628097591E-2</v>
      </c>
    </row>
    <row r="23" spans="1:6" x14ac:dyDescent="0.25">
      <c r="A23" t="s">
        <v>371</v>
      </c>
      <c r="B23" s="4">
        <v>41379</v>
      </c>
      <c r="C23">
        <f t="shared" si="0"/>
        <v>365</v>
      </c>
      <c r="D23">
        <v>645880</v>
      </c>
      <c r="E23">
        <v>29985</v>
      </c>
      <c r="F23">
        <f t="shared" si="1"/>
        <v>4.6425032513779649E-2</v>
      </c>
    </row>
    <row r="24" spans="1:6" x14ac:dyDescent="0.25">
      <c r="A24" t="s">
        <v>372</v>
      </c>
      <c r="B24" s="4">
        <v>41744</v>
      </c>
      <c r="C24">
        <f t="shared" si="0"/>
        <v>133</v>
      </c>
      <c r="D24">
        <v>648173</v>
      </c>
      <c r="E24">
        <v>1957</v>
      </c>
      <c r="F24">
        <f t="shared" si="1"/>
        <v>3.0192556616829148E-3</v>
      </c>
    </row>
    <row r="25" spans="1:6" x14ac:dyDescent="0.25">
      <c r="A25" t="s">
        <v>373</v>
      </c>
      <c r="B25" s="4">
        <v>41877</v>
      </c>
      <c r="C25">
        <f t="shared" si="0"/>
        <v>411</v>
      </c>
      <c r="D25">
        <v>674714</v>
      </c>
      <c r="E25">
        <v>37526</v>
      </c>
      <c r="F25">
        <f t="shared" si="1"/>
        <v>5.5617639473910428E-2</v>
      </c>
    </row>
    <row r="26" spans="1:6" x14ac:dyDescent="0.25">
      <c r="A26" t="s">
        <v>374</v>
      </c>
      <c r="B26" s="4">
        <v>42288</v>
      </c>
      <c r="C26">
        <f t="shared" si="0"/>
        <v>380</v>
      </c>
      <c r="D26">
        <v>687165</v>
      </c>
      <c r="E26">
        <v>4062</v>
      </c>
      <c r="F26">
        <f t="shared" si="1"/>
        <v>5.9112440243609616E-3</v>
      </c>
    </row>
    <row r="27" spans="1:6" x14ac:dyDescent="0.25">
      <c r="A27" t="s">
        <v>375</v>
      </c>
      <c r="B27" s="4">
        <v>42668</v>
      </c>
      <c r="C27">
        <f t="shared" si="0"/>
        <v>555</v>
      </c>
      <c r="D27">
        <v>688376</v>
      </c>
      <c r="E27">
        <v>5038</v>
      </c>
      <c r="F27">
        <f t="shared" si="1"/>
        <v>7.3186746777923689E-3</v>
      </c>
    </row>
    <row r="28" spans="1:6" x14ac:dyDescent="0.25">
      <c r="A28" t="s">
        <v>468</v>
      </c>
      <c r="B28" s="4">
        <v>43223</v>
      </c>
      <c r="D28">
        <v>689306</v>
      </c>
      <c r="E28">
        <v>8432</v>
      </c>
      <c r="F28">
        <f t="shared" si="1"/>
        <v>1.2232593362019191E-2</v>
      </c>
    </row>
    <row r="29" spans="1:6" x14ac:dyDescent="0.25">
      <c r="D29">
        <f>SUM(D6:D28)</f>
        <v>13202074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618A-4A13-4804-898B-D6D042C85E78}">
  <dimension ref="A1:F39"/>
  <sheetViews>
    <sheetView topLeftCell="A26" workbookViewId="0">
      <selection activeCell="D39" sqref="D39"/>
    </sheetView>
  </sheetViews>
  <sheetFormatPr defaultRowHeight="15" x14ac:dyDescent="0.25"/>
  <cols>
    <col min="2" max="2" width="10.5703125" customWidth="1"/>
    <col min="3" max="3" width="10.42578125" customWidth="1"/>
  </cols>
  <sheetData>
    <row r="1" spans="1:6" x14ac:dyDescent="0.25">
      <c r="B1" s="1"/>
      <c r="C1" t="s">
        <v>0</v>
      </c>
      <c r="D1" t="s">
        <v>210</v>
      </c>
      <c r="E1" s="5" t="s">
        <v>440</v>
      </c>
      <c r="F1" s="5" t="s">
        <v>441</v>
      </c>
    </row>
    <row r="2" spans="1:6" x14ac:dyDescent="0.25">
      <c r="B2" s="1" t="s">
        <v>1</v>
      </c>
      <c r="C2">
        <f>AVERAGE(C7:C38)</f>
        <v>117</v>
      </c>
      <c r="D2">
        <f t="shared" ref="D2:F2" si="0">AVERAGE(D7:D38)</f>
        <v>90999.84375</v>
      </c>
      <c r="E2">
        <f t="shared" si="0"/>
        <v>1747.4</v>
      </c>
      <c r="F2">
        <f t="shared" si="0"/>
        <v>1.9946309720539478E-2</v>
      </c>
    </row>
    <row r="3" spans="1:6" x14ac:dyDescent="0.25">
      <c r="B3" s="1" t="s">
        <v>2</v>
      </c>
      <c r="C3">
        <f>MEDIAN(C7:C38)</f>
        <v>110</v>
      </c>
      <c r="D3">
        <f t="shared" ref="D3:F3" si="1">MEDIAN(D7:D38)</f>
        <v>98398</v>
      </c>
      <c r="E3">
        <f t="shared" si="1"/>
        <v>1019.5</v>
      </c>
      <c r="F3">
        <f t="shared" si="1"/>
        <v>1.1433664035265825E-2</v>
      </c>
    </row>
    <row r="4" spans="1:6" x14ac:dyDescent="0.25">
      <c r="B4" s="1" t="s">
        <v>3</v>
      </c>
      <c r="C4">
        <f>STDEV(C7:C38)</f>
        <v>98.257786422209776</v>
      </c>
      <c r="D4">
        <f t="shared" ref="D4:F4" si="2">STDEV(D7:D38)</f>
        <v>16916.965784735014</v>
      </c>
      <c r="E4">
        <f t="shared" si="2"/>
        <v>2222.6546352472769</v>
      </c>
      <c r="F4">
        <f t="shared" si="2"/>
        <v>2.5039961964181023E-2</v>
      </c>
    </row>
    <row r="5" spans="1:6" x14ac:dyDescent="0.25">
      <c r="A5" t="s">
        <v>4</v>
      </c>
      <c r="B5" s="1" t="s">
        <v>5</v>
      </c>
    </row>
    <row r="6" spans="1:6" x14ac:dyDescent="0.25">
      <c r="A6" t="s">
        <v>467</v>
      </c>
      <c r="B6" s="1">
        <v>42390</v>
      </c>
      <c r="D6">
        <v>60978</v>
      </c>
    </row>
    <row r="7" spans="1:6" x14ac:dyDescent="0.25">
      <c r="A7" t="s">
        <v>376</v>
      </c>
      <c r="B7" s="4">
        <v>41629</v>
      </c>
      <c r="C7">
        <f>DATEDIF(B7,B8,"d")</f>
        <v>110</v>
      </c>
      <c r="D7">
        <v>63186</v>
      </c>
      <c r="E7">
        <v>6290</v>
      </c>
      <c r="F7">
        <f>E7/D7</f>
        <v>9.9547368087867572E-2</v>
      </c>
    </row>
    <row r="8" spans="1:6" x14ac:dyDescent="0.25">
      <c r="A8" t="s">
        <v>377</v>
      </c>
      <c r="B8" s="4">
        <v>41739</v>
      </c>
      <c r="C8">
        <f t="shared" ref="C8:C37" si="3">DATEDIF(B8,B9,"d")</f>
        <v>183</v>
      </c>
      <c r="D8">
        <v>64721</v>
      </c>
      <c r="E8">
        <v>2416</v>
      </c>
      <c r="F8">
        <f>E8/D8</f>
        <v>3.7329460298821095E-2</v>
      </c>
    </row>
    <row r="9" spans="1:6" x14ac:dyDescent="0.25">
      <c r="A9" t="s">
        <v>378</v>
      </c>
      <c r="B9" s="4">
        <v>41922</v>
      </c>
      <c r="C9">
        <f t="shared" si="3"/>
        <v>110</v>
      </c>
      <c r="D9">
        <v>66931</v>
      </c>
      <c r="E9">
        <v>1944</v>
      </c>
      <c r="F9">
        <f t="shared" ref="F9:F38" si="4">E9/D9</f>
        <v>2.9044837220421029E-2</v>
      </c>
    </row>
    <row r="10" spans="1:6" x14ac:dyDescent="0.25">
      <c r="A10" t="s">
        <v>379</v>
      </c>
      <c r="B10" s="4">
        <v>42032</v>
      </c>
      <c r="C10">
        <f t="shared" si="3"/>
        <v>152</v>
      </c>
      <c r="D10">
        <v>67967</v>
      </c>
      <c r="E10">
        <v>1158</v>
      </c>
      <c r="F10">
        <f t="shared" si="4"/>
        <v>1.7037680050612798E-2</v>
      </c>
    </row>
    <row r="11" spans="1:6" x14ac:dyDescent="0.25">
      <c r="A11" t="s">
        <v>380</v>
      </c>
      <c r="B11" s="4">
        <v>42184</v>
      </c>
      <c r="C11">
        <f t="shared" si="3"/>
        <v>95</v>
      </c>
      <c r="D11">
        <v>68402</v>
      </c>
      <c r="E11">
        <v>1146</v>
      </c>
      <c r="F11">
        <f t="shared" si="4"/>
        <v>1.6753896084909799E-2</v>
      </c>
    </row>
    <row r="12" spans="1:6" x14ac:dyDescent="0.25">
      <c r="A12" t="s">
        <v>381</v>
      </c>
      <c r="B12" s="4">
        <v>42279</v>
      </c>
      <c r="C12">
        <f t="shared" si="3"/>
        <v>130</v>
      </c>
      <c r="D12">
        <v>68413</v>
      </c>
      <c r="E12">
        <v>639</v>
      </c>
      <c r="F12">
        <f t="shared" si="4"/>
        <v>9.3403300542294586E-3</v>
      </c>
    </row>
    <row r="13" spans="1:6" x14ac:dyDescent="0.25">
      <c r="A13" t="s">
        <v>382</v>
      </c>
      <c r="B13" s="4">
        <v>42409</v>
      </c>
      <c r="C13">
        <f t="shared" si="3"/>
        <v>126</v>
      </c>
      <c r="D13">
        <v>68979</v>
      </c>
      <c r="E13">
        <v>1045</v>
      </c>
      <c r="F13">
        <f t="shared" si="4"/>
        <v>1.5149538265269141E-2</v>
      </c>
    </row>
    <row r="14" spans="1:6" x14ac:dyDescent="0.25">
      <c r="A14" t="s">
        <v>383</v>
      </c>
      <c r="B14" s="4">
        <v>42535</v>
      </c>
      <c r="C14">
        <f t="shared" si="3"/>
        <v>55</v>
      </c>
      <c r="D14">
        <v>69478</v>
      </c>
      <c r="E14">
        <v>624</v>
      </c>
      <c r="F14">
        <f t="shared" si="4"/>
        <v>8.9812602550447627E-3</v>
      </c>
    </row>
    <row r="15" spans="1:6" x14ac:dyDescent="0.25">
      <c r="A15" t="s">
        <v>384</v>
      </c>
      <c r="B15" s="4">
        <v>42590</v>
      </c>
      <c r="C15">
        <f t="shared" si="3"/>
        <v>567</v>
      </c>
      <c r="D15">
        <v>69713</v>
      </c>
      <c r="E15">
        <v>496</v>
      </c>
      <c r="F15">
        <f t="shared" si="4"/>
        <v>7.1148853155078677E-3</v>
      </c>
    </row>
    <row r="16" spans="1:6" x14ac:dyDescent="0.25">
      <c r="A16" t="s">
        <v>385</v>
      </c>
      <c r="B16" s="4">
        <v>43157</v>
      </c>
      <c r="D16">
        <v>69710</v>
      </c>
      <c r="E16">
        <v>472</v>
      </c>
      <c r="F16">
        <f t="shared" si="4"/>
        <v>6.7709080476258789E-3</v>
      </c>
    </row>
    <row r="17" spans="1:6" x14ac:dyDescent="0.25">
      <c r="A17" t="s">
        <v>265</v>
      </c>
      <c r="B17" s="4">
        <v>42178</v>
      </c>
      <c r="C17">
        <f t="shared" si="3"/>
        <v>54</v>
      </c>
      <c r="D17">
        <v>94073</v>
      </c>
      <c r="E17">
        <v>8651</v>
      </c>
      <c r="F17">
        <f t="shared" si="4"/>
        <v>9.1960498761600035E-2</v>
      </c>
    </row>
    <row r="18" spans="1:6" x14ac:dyDescent="0.25">
      <c r="A18" t="s">
        <v>266</v>
      </c>
      <c r="B18" s="4">
        <v>42232</v>
      </c>
      <c r="C18">
        <f t="shared" si="3"/>
        <v>54</v>
      </c>
      <c r="D18">
        <v>94767</v>
      </c>
      <c r="E18">
        <v>1222</v>
      </c>
      <c r="F18">
        <f t="shared" si="4"/>
        <v>1.2894784049299862E-2</v>
      </c>
    </row>
    <row r="19" spans="1:6" x14ac:dyDescent="0.25">
      <c r="A19" t="s">
        <v>267</v>
      </c>
      <c r="B19" s="4">
        <v>42286</v>
      </c>
      <c r="C19">
        <f t="shared" si="3"/>
        <v>29</v>
      </c>
      <c r="D19">
        <v>95510</v>
      </c>
      <c r="E19">
        <v>876</v>
      </c>
      <c r="F19">
        <f t="shared" si="4"/>
        <v>9.171814469689038E-3</v>
      </c>
    </row>
    <row r="20" spans="1:6" x14ac:dyDescent="0.25">
      <c r="A20" t="s">
        <v>268</v>
      </c>
      <c r="B20" s="4">
        <v>42315</v>
      </c>
      <c r="C20">
        <f t="shared" si="3"/>
        <v>64</v>
      </c>
      <c r="D20">
        <v>95724</v>
      </c>
      <c r="E20">
        <v>524</v>
      </c>
      <c r="F20">
        <f t="shared" si="4"/>
        <v>5.4740712882871585E-3</v>
      </c>
    </row>
    <row r="21" spans="1:6" x14ac:dyDescent="0.25">
      <c r="A21" t="s">
        <v>269</v>
      </c>
      <c r="B21" s="4">
        <v>42379</v>
      </c>
      <c r="C21">
        <f t="shared" si="3"/>
        <v>99</v>
      </c>
      <c r="D21">
        <v>97285</v>
      </c>
      <c r="E21">
        <v>1382</v>
      </c>
      <c r="F21">
        <f t="shared" si="4"/>
        <v>1.4205684329547207E-2</v>
      </c>
    </row>
    <row r="22" spans="1:6" x14ac:dyDescent="0.25">
      <c r="A22" t="s">
        <v>352</v>
      </c>
      <c r="B22" s="4">
        <v>42478</v>
      </c>
      <c r="C22">
        <f t="shared" si="3"/>
        <v>127</v>
      </c>
      <c r="D22">
        <v>97986</v>
      </c>
      <c r="E22">
        <v>1421</v>
      </c>
      <c r="F22">
        <f t="shared" si="4"/>
        <v>1.4502071724532077E-2</v>
      </c>
    </row>
    <row r="23" spans="1:6" x14ac:dyDescent="0.25">
      <c r="A23" t="s">
        <v>270</v>
      </c>
      <c r="B23" s="4">
        <v>42605</v>
      </c>
      <c r="C23">
        <f t="shared" si="3"/>
        <v>27</v>
      </c>
      <c r="D23">
        <v>99540</v>
      </c>
      <c r="E23">
        <v>1374</v>
      </c>
      <c r="F23">
        <f t="shared" si="4"/>
        <v>1.3803496081977095E-2</v>
      </c>
    </row>
    <row r="24" spans="1:6" x14ac:dyDescent="0.25">
      <c r="A24" t="s">
        <v>271</v>
      </c>
      <c r="B24" s="4">
        <v>42632</v>
      </c>
      <c r="C24">
        <f t="shared" si="3"/>
        <v>86</v>
      </c>
      <c r="D24">
        <v>99750</v>
      </c>
      <c r="E24">
        <v>444</v>
      </c>
      <c r="F24">
        <f t="shared" si="4"/>
        <v>4.4511278195488724E-3</v>
      </c>
    </row>
    <row r="25" spans="1:6" x14ac:dyDescent="0.25">
      <c r="A25" t="s">
        <v>272</v>
      </c>
      <c r="B25" s="4">
        <v>42718</v>
      </c>
      <c r="C25">
        <f t="shared" si="3"/>
        <v>113</v>
      </c>
      <c r="D25">
        <v>100557</v>
      </c>
      <c r="E25">
        <v>698</v>
      </c>
      <c r="F25">
        <f t="shared" si="4"/>
        <v>6.9413367542786675E-3</v>
      </c>
    </row>
    <row r="26" spans="1:6" x14ac:dyDescent="0.25">
      <c r="A26" t="s">
        <v>273</v>
      </c>
      <c r="B26" s="4">
        <v>42831</v>
      </c>
      <c r="C26">
        <f t="shared" si="3"/>
        <v>170</v>
      </c>
      <c r="D26">
        <v>101054</v>
      </c>
      <c r="E26">
        <v>756</v>
      </c>
      <c r="F26">
        <f t="shared" si="4"/>
        <v>7.4811486927781187E-3</v>
      </c>
    </row>
    <row r="27" spans="1:6" x14ac:dyDescent="0.25">
      <c r="A27" t="s">
        <v>274</v>
      </c>
      <c r="B27" s="4">
        <v>43001</v>
      </c>
      <c r="D27">
        <v>101315</v>
      </c>
    </row>
    <row r="28" spans="1:6" x14ac:dyDescent="0.25">
      <c r="A28" t="s">
        <v>319</v>
      </c>
      <c r="B28" s="4">
        <v>42767</v>
      </c>
      <c r="C28">
        <f t="shared" si="3"/>
        <v>55</v>
      </c>
      <c r="D28">
        <v>98939</v>
      </c>
    </row>
    <row r="29" spans="1:6" x14ac:dyDescent="0.25">
      <c r="A29" t="s">
        <v>320</v>
      </c>
      <c r="B29" s="4">
        <v>42822</v>
      </c>
      <c r="C29">
        <f t="shared" si="3"/>
        <v>129</v>
      </c>
      <c r="D29">
        <v>98810</v>
      </c>
      <c r="E29">
        <v>994</v>
      </c>
      <c r="F29">
        <f t="shared" si="4"/>
        <v>1.005971055561178E-2</v>
      </c>
    </row>
    <row r="30" spans="1:6" x14ac:dyDescent="0.25">
      <c r="A30" t="s">
        <v>321</v>
      </c>
      <c r="B30" s="4">
        <v>42951</v>
      </c>
      <c r="C30">
        <f t="shared" si="3"/>
        <v>83</v>
      </c>
      <c r="D30">
        <v>100141</v>
      </c>
      <c r="E30">
        <v>1558</v>
      </c>
      <c r="F30">
        <f t="shared" si="4"/>
        <v>1.555806313098531E-2</v>
      </c>
    </row>
    <row r="31" spans="1:6" x14ac:dyDescent="0.25">
      <c r="A31" t="s">
        <v>322</v>
      </c>
      <c r="B31" s="4">
        <v>43034</v>
      </c>
      <c r="C31">
        <f t="shared" si="3"/>
        <v>50</v>
      </c>
      <c r="D31">
        <v>100532</v>
      </c>
      <c r="E31">
        <v>762</v>
      </c>
      <c r="F31">
        <f t="shared" si="4"/>
        <v>7.5796761230255043E-3</v>
      </c>
    </row>
    <row r="32" spans="1:6" x14ac:dyDescent="0.25">
      <c r="A32" t="s">
        <v>323</v>
      </c>
      <c r="B32" s="4">
        <v>43084</v>
      </c>
      <c r="C32">
        <f t="shared" si="3"/>
        <v>59</v>
      </c>
      <c r="D32">
        <v>101239</v>
      </c>
      <c r="E32">
        <v>694</v>
      </c>
      <c r="F32">
        <f t="shared" si="4"/>
        <v>6.8550657355367006E-3</v>
      </c>
    </row>
    <row r="33" spans="1:6" x14ac:dyDescent="0.25">
      <c r="A33" t="s">
        <v>324</v>
      </c>
      <c r="B33" s="4">
        <v>43143</v>
      </c>
      <c r="C33">
        <f t="shared" si="3"/>
        <v>178</v>
      </c>
      <c r="D33">
        <v>101478</v>
      </c>
      <c r="E33">
        <v>564</v>
      </c>
      <c r="F33">
        <f t="shared" si="4"/>
        <v>5.5578549045113227E-3</v>
      </c>
    </row>
    <row r="34" spans="1:6" x14ac:dyDescent="0.25">
      <c r="A34" t="s">
        <v>325</v>
      </c>
      <c r="B34" s="4">
        <v>43321</v>
      </c>
      <c r="C34">
        <f t="shared" si="3"/>
        <v>112</v>
      </c>
      <c r="D34">
        <v>102161</v>
      </c>
      <c r="E34">
        <v>709</v>
      </c>
      <c r="F34">
        <f t="shared" si="4"/>
        <v>6.9400260373332287E-3</v>
      </c>
    </row>
    <row r="35" spans="1:6" x14ac:dyDescent="0.25">
      <c r="A35" t="s">
        <v>326</v>
      </c>
      <c r="B35" s="4">
        <v>43433</v>
      </c>
      <c r="D35">
        <v>102436</v>
      </c>
      <c r="E35">
        <v>426</v>
      </c>
      <c r="F35">
        <f t="shared" si="4"/>
        <v>4.1586942090671248E-3</v>
      </c>
    </row>
    <row r="36" spans="1:6" x14ac:dyDescent="0.25">
      <c r="A36" t="s">
        <v>386</v>
      </c>
      <c r="B36" s="4">
        <v>43195</v>
      </c>
      <c r="C36">
        <f t="shared" si="3"/>
        <v>135</v>
      </c>
      <c r="D36">
        <v>114343</v>
      </c>
      <c r="E36">
        <v>9047</v>
      </c>
      <c r="F36">
        <f t="shared" si="4"/>
        <v>7.9121590302860687E-2</v>
      </c>
    </row>
    <row r="37" spans="1:6" x14ac:dyDescent="0.25">
      <c r="A37" t="s">
        <v>387</v>
      </c>
      <c r="B37" s="4">
        <v>43330</v>
      </c>
      <c r="C37">
        <f t="shared" si="3"/>
        <v>124</v>
      </c>
      <c r="D37">
        <v>117551</v>
      </c>
      <c r="E37">
        <v>2562</v>
      </c>
      <c r="F37">
        <f t="shared" si="4"/>
        <v>2.1794795450485321E-2</v>
      </c>
    </row>
    <row r="38" spans="1:6" x14ac:dyDescent="0.25">
      <c r="A38" t="s">
        <v>388</v>
      </c>
      <c r="B38" s="4">
        <v>43454</v>
      </c>
      <c r="D38">
        <v>119304</v>
      </c>
      <c r="E38">
        <v>1528</v>
      </c>
      <c r="F38">
        <f t="shared" si="4"/>
        <v>1.2807617514919869E-2</v>
      </c>
    </row>
    <row r="39" spans="1:6" x14ac:dyDescent="0.25">
      <c r="D39">
        <f>SUM(D17:D38)</f>
        <v>2234495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2F0B-EED7-4D43-BAE3-88A66387CD40}">
  <dimension ref="A1:F38"/>
  <sheetViews>
    <sheetView workbookViewId="0">
      <selection activeCell="E8" sqref="E8"/>
    </sheetView>
  </sheetViews>
  <sheetFormatPr defaultRowHeight="15" x14ac:dyDescent="0.25"/>
  <cols>
    <col min="1" max="1" width="7.7109375" customWidth="1"/>
    <col min="2" max="2" width="10.140625" customWidth="1"/>
    <col min="3" max="3" width="14" customWidth="1"/>
    <col min="6" max="6" width="13.28515625" customWidth="1"/>
  </cols>
  <sheetData>
    <row r="1" spans="1:6" x14ac:dyDescent="0.25">
      <c r="B1" s="1"/>
      <c r="C1" t="s">
        <v>0</v>
      </c>
      <c r="D1" t="s">
        <v>210</v>
      </c>
      <c r="E1" s="5" t="s">
        <v>440</v>
      </c>
      <c r="F1" s="5" t="s">
        <v>441</v>
      </c>
    </row>
    <row r="2" spans="1:6" x14ac:dyDescent="0.25">
      <c r="B2" s="1" t="s">
        <v>1</v>
      </c>
      <c r="C2">
        <f>AVERAGE(C3:C33)</f>
        <v>51.901577666921312</v>
      </c>
      <c r="D2">
        <f>AVERAGE(D6:D34)</f>
        <v>192726.5</v>
      </c>
      <c r="E2">
        <f>AVERAGE(E7:E34)</f>
        <v>4450.75</v>
      </c>
      <c r="F2">
        <f>AVERAGE(F7:F34)</f>
        <v>2.2970611953215429E-2</v>
      </c>
    </row>
    <row r="3" spans="1:6" x14ac:dyDescent="0.25">
      <c r="B3" s="1" t="s">
        <v>2</v>
      </c>
      <c r="C3">
        <f>MEDIAN(C6:C33)</f>
        <v>34</v>
      </c>
      <c r="D3">
        <f>MEDIAN(D6:D34)</f>
        <v>188703</v>
      </c>
      <c r="E3">
        <f>MEDIAN(E7:E34)</f>
        <v>3116</v>
      </c>
      <c r="F3">
        <f>MEDIAN(F7:F34)</f>
        <v>1.6619016820530019E-2</v>
      </c>
    </row>
    <row r="4" spans="1:6" x14ac:dyDescent="0.25">
      <c r="B4" s="1" t="s">
        <v>3</v>
      </c>
      <c r="C4">
        <f>STDEV(C6:C33)</f>
        <v>52.145752340717912</v>
      </c>
      <c r="D4">
        <f>STDEV(D6:D34)</f>
        <v>11108.372953167654</v>
      </c>
      <c r="E4">
        <f>STDEV(E7:E34)</f>
        <v>3614.7663274203287</v>
      </c>
      <c r="F4">
        <f>STDEV(F7:F34)</f>
        <v>1.8136828636739134E-2</v>
      </c>
    </row>
    <row r="5" spans="1:6" x14ac:dyDescent="0.25">
      <c r="A5" t="s">
        <v>4</v>
      </c>
      <c r="B5" s="1" t="s">
        <v>5</v>
      </c>
    </row>
    <row r="6" spans="1:6" x14ac:dyDescent="0.25">
      <c r="A6" s="8" t="s">
        <v>376</v>
      </c>
      <c r="B6" s="8" t="s">
        <v>401</v>
      </c>
      <c r="C6">
        <f t="shared" ref="C6:C37" si="0">DATEDIF(B6,B7,"d")</f>
        <v>29</v>
      </c>
    </row>
    <row r="7" spans="1:6" x14ac:dyDescent="0.25">
      <c r="A7" s="8" t="s">
        <v>377</v>
      </c>
      <c r="B7" s="8" t="s">
        <v>402</v>
      </c>
      <c r="C7">
        <f t="shared" si="0"/>
        <v>13</v>
      </c>
      <c r="D7">
        <v>182194</v>
      </c>
      <c r="E7">
        <v>2595</v>
      </c>
      <c r="F7">
        <f>E7/D7</f>
        <v>1.424305959581545E-2</v>
      </c>
    </row>
    <row r="8" spans="1:6" x14ac:dyDescent="0.25">
      <c r="A8" s="8" t="s">
        <v>378</v>
      </c>
      <c r="B8" s="8" t="s">
        <v>403</v>
      </c>
      <c r="C8">
        <f t="shared" si="0"/>
        <v>50</v>
      </c>
      <c r="D8">
        <v>182197</v>
      </c>
      <c r="E8">
        <v>2416</v>
      </c>
      <c r="F8">
        <f t="shared" ref="F8:F38" si="1">E8/D8</f>
        <v>1.3260372014906941E-2</v>
      </c>
    </row>
    <row r="9" spans="1:6" x14ac:dyDescent="0.25">
      <c r="A9" s="8" t="s">
        <v>379</v>
      </c>
      <c r="B9" s="8" t="s">
        <v>404</v>
      </c>
      <c r="C9">
        <f t="shared" si="0"/>
        <v>28</v>
      </c>
      <c r="D9">
        <v>183589</v>
      </c>
      <c r="E9">
        <v>3665</v>
      </c>
      <c r="F9">
        <f t="shared" si="1"/>
        <v>1.9963069682824134E-2</v>
      </c>
    </row>
    <row r="10" spans="1:6" x14ac:dyDescent="0.25">
      <c r="A10" s="8" t="s">
        <v>380</v>
      </c>
      <c r="B10" s="8" t="s">
        <v>405</v>
      </c>
      <c r="C10">
        <f t="shared" si="0"/>
        <v>34</v>
      </c>
      <c r="D10">
        <v>184524</v>
      </c>
      <c r="E10">
        <v>3069</v>
      </c>
      <c r="F10">
        <f t="shared" si="1"/>
        <v>1.6631982831501593E-2</v>
      </c>
    </row>
    <row r="11" spans="1:6" x14ac:dyDescent="0.25">
      <c r="A11" s="8" t="s">
        <v>381</v>
      </c>
      <c r="B11" s="8" t="s">
        <v>406</v>
      </c>
      <c r="C11">
        <f t="shared" si="0"/>
        <v>32</v>
      </c>
      <c r="D11">
        <v>185361</v>
      </c>
      <c r="E11">
        <v>2906</v>
      </c>
      <c r="F11">
        <f t="shared" si="1"/>
        <v>1.5677515766531255E-2</v>
      </c>
    </row>
    <row r="12" spans="1:6" x14ac:dyDescent="0.25">
      <c r="A12" s="8" t="s">
        <v>382</v>
      </c>
      <c r="B12" s="8" t="s">
        <v>407</v>
      </c>
      <c r="C12">
        <f t="shared" si="0"/>
        <v>31</v>
      </c>
      <c r="D12">
        <v>185595</v>
      </c>
      <c r="E12">
        <v>3082</v>
      </c>
      <c r="F12">
        <f t="shared" si="1"/>
        <v>1.6606050809558449E-2</v>
      </c>
    </row>
    <row r="13" spans="1:6" x14ac:dyDescent="0.25">
      <c r="A13" s="8" t="s">
        <v>383</v>
      </c>
      <c r="B13" s="8" t="s">
        <v>408</v>
      </c>
      <c r="C13">
        <f t="shared" si="0"/>
        <v>22</v>
      </c>
      <c r="D13">
        <v>186003</v>
      </c>
      <c r="E13">
        <v>3245</v>
      </c>
      <c r="F13">
        <f t="shared" si="1"/>
        <v>1.744595517276603E-2</v>
      </c>
    </row>
    <row r="14" spans="1:6" x14ac:dyDescent="0.25">
      <c r="A14" s="8" t="s">
        <v>384</v>
      </c>
      <c r="B14" s="8" t="s">
        <v>397</v>
      </c>
      <c r="C14">
        <f t="shared" si="0"/>
        <v>76</v>
      </c>
      <c r="D14">
        <v>186499</v>
      </c>
      <c r="E14">
        <v>2768</v>
      </c>
      <c r="F14">
        <f t="shared" si="1"/>
        <v>1.4841902637547654E-2</v>
      </c>
    </row>
    <row r="15" spans="1:6" x14ac:dyDescent="0.25">
      <c r="A15" s="8" t="s">
        <v>385</v>
      </c>
      <c r="B15" s="8" t="s">
        <v>409</v>
      </c>
      <c r="C15">
        <f t="shared" si="0"/>
        <v>58</v>
      </c>
      <c r="D15">
        <v>188007</v>
      </c>
      <c r="E15">
        <v>4123</v>
      </c>
      <c r="F15">
        <f t="shared" si="1"/>
        <v>2.1930034519991277E-2</v>
      </c>
    </row>
    <row r="16" spans="1:6" x14ac:dyDescent="0.25">
      <c r="A16" s="8" t="s">
        <v>410</v>
      </c>
      <c r="B16" s="8" t="s">
        <v>411</v>
      </c>
      <c r="C16">
        <f t="shared" si="0"/>
        <v>97</v>
      </c>
      <c r="D16">
        <v>188438</v>
      </c>
      <c r="E16">
        <v>15060</v>
      </c>
      <c r="F16">
        <f t="shared" si="1"/>
        <v>7.9920185949755362E-2</v>
      </c>
    </row>
    <row r="17" spans="1:6" x14ac:dyDescent="0.25">
      <c r="A17" s="8" t="s">
        <v>412</v>
      </c>
      <c r="B17" s="8" t="s">
        <v>413</v>
      </c>
      <c r="C17">
        <f t="shared" si="0"/>
        <v>17</v>
      </c>
      <c r="D17">
        <v>188968</v>
      </c>
      <c r="E17">
        <v>3268</v>
      </c>
      <c r="F17">
        <f t="shared" si="1"/>
        <v>1.7293933364379153E-2</v>
      </c>
    </row>
    <row r="18" spans="1:6" x14ac:dyDescent="0.25">
      <c r="A18" s="8" t="s">
        <v>414</v>
      </c>
      <c r="B18" s="8" t="s">
        <v>415</v>
      </c>
      <c r="C18">
        <f t="shared" si="0"/>
        <v>35</v>
      </c>
      <c r="D18">
        <v>189293</v>
      </c>
      <c r="E18">
        <v>2594</v>
      </c>
      <c r="F18">
        <f t="shared" si="1"/>
        <v>1.3703623483171591E-2</v>
      </c>
    </row>
    <row r="19" spans="1:6" x14ac:dyDescent="0.25">
      <c r="A19" s="8" t="s">
        <v>416</v>
      </c>
      <c r="B19" s="8" t="s">
        <v>417</v>
      </c>
      <c r="C19">
        <f t="shared" si="0"/>
        <v>173</v>
      </c>
      <c r="D19">
        <v>189563</v>
      </c>
      <c r="E19">
        <v>2843</v>
      </c>
      <c r="F19">
        <f t="shared" si="1"/>
        <v>1.4997652495476438E-2</v>
      </c>
    </row>
    <row r="20" spans="1:6" x14ac:dyDescent="0.25">
      <c r="A20" s="8" t="s">
        <v>418</v>
      </c>
      <c r="B20" s="8" t="s">
        <v>398</v>
      </c>
      <c r="C20">
        <f t="shared" si="0"/>
        <v>212</v>
      </c>
      <c r="D20">
        <v>189970</v>
      </c>
      <c r="E20">
        <v>2751</v>
      </c>
      <c r="F20">
        <f t="shared" si="1"/>
        <v>1.4481233879033531E-2</v>
      </c>
    </row>
    <row r="21" spans="1:6" x14ac:dyDescent="0.25">
      <c r="A21" s="8" t="s">
        <v>419</v>
      </c>
      <c r="B21" s="8" t="s">
        <v>399</v>
      </c>
      <c r="C21">
        <f t="shared" si="0"/>
        <v>0</v>
      </c>
      <c r="D21">
        <v>192273</v>
      </c>
      <c r="E21">
        <v>3765</v>
      </c>
      <c r="F21">
        <f t="shared" si="1"/>
        <v>1.9581532508464526E-2</v>
      </c>
    </row>
    <row r="22" spans="1:6" x14ac:dyDescent="0.25">
      <c r="A22" s="8" t="s">
        <v>420</v>
      </c>
      <c r="B22" s="8" t="s">
        <v>399</v>
      </c>
      <c r="C22">
        <f t="shared" si="0"/>
        <v>89</v>
      </c>
      <c r="D22">
        <v>193146</v>
      </c>
      <c r="E22">
        <v>2954</v>
      </c>
      <c r="F22">
        <f t="shared" si="1"/>
        <v>1.529412982924834E-2</v>
      </c>
    </row>
    <row r="23" spans="1:6" x14ac:dyDescent="0.25">
      <c r="A23" s="8" t="s">
        <v>421</v>
      </c>
      <c r="B23" s="8" t="s">
        <v>400</v>
      </c>
      <c r="D23">
        <v>193702</v>
      </c>
      <c r="E23">
        <v>2954</v>
      </c>
      <c r="F23">
        <f t="shared" si="1"/>
        <v>1.5250229734334184E-2</v>
      </c>
    </row>
    <row r="24" spans="1:6" x14ac:dyDescent="0.25">
      <c r="A24" s="8">
        <v>3.1</v>
      </c>
      <c r="B24" s="8" t="s">
        <v>402</v>
      </c>
      <c r="C24">
        <f t="shared" si="0"/>
        <v>34</v>
      </c>
      <c r="D24">
        <v>182194</v>
      </c>
      <c r="E24">
        <v>12172</v>
      </c>
      <c r="F24">
        <f t="shared" si="1"/>
        <v>6.6807908054052276E-2</v>
      </c>
    </row>
    <row r="25" spans="1:6" x14ac:dyDescent="0.25">
      <c r="A25" s="8">
        <v>3.2</v>
      </c>
      <c r="B25" s="8" t="s">
        <v>422</v>
      </c>
      <c r="C25">
        <f t="shared" si="0"/>
        <v>8</v>
      </c>
      <c r="D25">
        <v>185590</v>
      </c>
      <c r="E25">
        <v>6400</v>
      </c>
      <c r="F25">
        <f t="shared" si="1"/>
        <v>3.4484616628051079E-2</v>
      </c>
    </row>
    <row r="26" spans="1:6" x14ac:dyDescent="0.25">
      <c r="A26" s="8" t="s">
        <v>202</v>
      </c>
      <c r="B26" s="8" t="s">
        <v>423</v>
      </c>
      <c r="C26">
        <f t="shared" si="0"/>
        <v>21</v>
      </c>
      <c r="D26">
        <v>185561</v>
      </c>
      <c r="E26">
        <v>2414</v>
      </c>
      <c r="F26">
        <f t="shared" si="1"/>
        <v>1.3009199131282975E-2</v>
      </c>
    </row>
    <row r="27" spans="1:6" x14ac:dyDescent="0.25">
      <c r="A27" s="8">
        <v>3.3</v>
      </c>
      <c r="B27" s="8" t="s">
        <v>404</v>
      </c>
      <c r="C27">
        <f t="shared" si="0"/>
        <v>28</v>
      </c>
      <c r="D27">
        <v>186376</v>
      </c>
      <c r="E27">
        <v>3181</v>
      </c>
      <c r="F27">
        <f t="shared" si="1"/>
        <v>1.7067648195046574E-2</v>
      </c>
    </row>
    <row r="28" spans="1:6" x14ac:dyDescent="0.25">
      <c r="A28" s="8">
        <v>3.4</v>
      </c>
      <c r="B28" s="8" t="s">
        <v>405</v>
      </c>
      <c r="C28">
        <f t="shared" si="0"/>
        <v>36</v>
      </c>
      <c r="D28">
        <v>200380</v>
      </c>
      <c r="E28">
        <v>6477</v>
      </c>
      <c r="F28">
        <f t="shared" si="1"/>
        <v>3.2323585188142531E-2</v>
      </c>
    </row>
    <row r="29" spans="1:6" x14ac:dyDescent="0.25">
      <c r="A29" s="8">
        <v>3.5</v>
      </c>
      <c r="B29" s="8" t="s">
        <v>424</v>
      </c>
      <c r="C29">
        <f t="shared" si="0"/>
        <v>54</v>
      </c>
      <c r="D29">
        <v>201450</v>
      </c>
      <c r="E29">
        <v>3150</v>
      </c>
      <c r="F29">
        <f t="shared" si="1"/>
        <v>1.5636634400595682E-2</v>
      </c>
    </row>
    <row r="30" spans="1:6" x14ac:dyDescent="0.25">
      <c r="A30" s="8">
        <v>3.6</v>
      </c>
      <c r="B30" s="8" t="s">
        <v>425</v>
      </c>
      <c r="C30">
        <f t="shared" si="0"/>
        <v>7</v>
      </c>
      <c r="D30">
        <v>207961</v>
      </c>
      <c r="E30">
        <v>4689</v>
      </c>
      <c r="F30">
        <f t="shared" si="1"/>
        <v>2.2547496886435439E-2</v>
      </c>
    </row>
    <row r="31" spans="1:6" x14ac:dyDescent="0.25">
      <c r="A31" s="8">
        <v>3.7</v>
      </c>
      <c r="B31" s="8" t="s">
        <v>408</v>
      </c>
      <c r="C31">
        <f t="shared" si="0"/>
        <v>108</v>
      </c>
      <c r="D31">
        <v>208401</v>
      </c>
      <c r="E31">
        <v>906</v>
      </c>
      <c r="F31">
        <f t="shared" si="1"/>
        <v>4.3473879683878676E-3</v>
      </c>
    </row>
    <row r="32" spans="1:6" x14ac:dyDescent="0.25">
      <c r="A32" s="8">
        <v>3.8</v>
      </c>
      <c r="B32" s="8" t="s">
        <v>426</v>
      </c>
      <c r="C32">
        <f t="shared" si="0"/>
        <v>0</v>
      </c>
      <c r="D32">
        <v>211511</v>
      </c>
      <c r="E32">
        <v>7115</v>
      </c>
      <c r="F32">
        <f t="shared" si="1"/>
        <v>3.3638912396991176E-2</v>
      </c>
    </row>
    <row r="33" spans="1:6" x14ac:dyDescent="0.25">
      <c r="A33" s="8">
        <v>3.9</v>
      </c>
      <c r="B33" s="8" t="s">
        <v>426</v>
      </c>
      <c r="C33">
        <f t="shared" si="0"/>
        <v>127</v>
      </c>
      <c r="D33">
        <v>211511</v>
      </c>
      <c r="E33">
        <v>22</v>
      </c>
      <c r="F33">
        <f t="shared" si="1"/>
        <v>1.0401350284382373E-4</v>
      </c>
    </row>
    <row r="34" spans="1:6" x14ac:dyDescent="0.25">
      <c r="A34" s="8" t="s">
        <v>427</v>
      </c>
      <c r="B34" s="8" t="s">
        <v>428</v>
      </c>
      <c r="C34">
        <f t="shared" si="0"/>
        <v>243</v>
      </c>
      <c r="D34">
        <v>226085</v>
      </c>
      <c r="E34">
        <v>14037</v>
      </c>
      <c r="F34">
        <f t="shared" si="1"/>
        <v>6.2087268062896696E-2</v>
      </c>
    </row>
    <row r="35" spans="1:6" x14ac:dyDescent="0.25">
      <c r="A35" s="8" t="s">
        <v>458</v>
      </c>
      <c r="B35" s="8" t="s">
        <v>398</v>
      </c>
      <c r="C35">
        <f t="shared" si="0"/>
        <v>212</v>
      </c>
      <c r="D35">
        <v>199685</v>
      </c>
      <c r="E35">
        <v>1313</v>
      </c>
      <c r="F35">
        <f t="shared" si="1"/>
        <v>6.575356185992939E-3</v>
      </c>
    </row>
    <row r="36" spans="1:6" x14ac:dyDescent="0.25">
      <c r="A36" s="8" t="s">
        <v>459</v>
      </c>
      <c r="B36" s="8" t="s">
        <v>399</v>
      </c>
      <c r="C36">
        <f t="shared" si="0"/>
        <v>0</v>
      </c>
      <c r="D36">
        <v>202170</v>
      </c>
      <c r="E36">
        <v>1491</v>
      </c>
      <c r="F36">
        <f t="shared" si="1"/>
        <v>7.3749814512538954E-3</v>
      </c>
    </row>
    <row r="37" spans="1:6" x14ac:dyDescent="0.25">
      <c r="A37" s="8" t="s">
        <v>460</v>
      </c>
      <c r="B37" s="8" t="s">
        <v>399</v>
      </c>
      <c r="C37">
        <f t="shared" si="0"/>
        <v>89</v>
      </c>
      <c r="D37">
        <v>203417</v>
      </c>
      <c r="E37">
        <v>1075</v>
      </c>
      <c r="F37">
        <f t="shared" si="1"/>
        <v>5.2847107173933346E-3</v>
      </c>
    </row>
    <row r="38" spans="1:6" x14ac:dyDescent="0.25">
      <c r="A38" s="8" t="s">
        <v>461</v>
      </c>
      <c r="B38" s="8" t="s">
        <v>400</v>
      </c>
      <c r="D38">
        <v>204154</v>
      </c>
      <c r="E38">
        <v>554</v>
      </c>
      <c r="F38">
        <f t="shared" si="1"/>
        <v>2.7136377440559576E-3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B6F-EA26-442E-9DA8-718B71B3260D}">
  <dimension ref="A1:F14"/>
  <sheetViews>
    <sheetView workbookViewId="0">
      <selection activeCell="F7" sqref="F7"/>
    </sheetView>
  </sheetViews>
  <sheetFormatPr defaultRowHeight="15" x14ac:dyDescent="0.25"/>
  <cols>
    <col min="2" max="2" width="12.7109375" customWidth="1"/>
    <col min="3" max="3" width="5.140625" customWidth="1"/>
  </cols>
  <sheetData>
    <row r="1" spans="1:6" x14ac:dyDescent="0.25">
      <c r="B1" s="1"/>
      <c r="D1" t="s">
        <v>210</v>
      </c>
      <c r="E1" s="5" t="s">
        <v>440</v>
      </c>
      <c r="F1" s="5" t="s">
        <v>441</v>
      </c>
    </row>
    <row r="2" spans="1:6" x14ac:dyDescent="0.25">
      <c r="B2" s="1" t="s">
        <v>1</v>
      </c>
      <c r="D2">
        <f>AVERAGE(D6:D14)</f>
        <v>720112.5555555555</v>
      </c>
      <c r="E2">
        <f>AVERAGE(E7:E14)</f>
        <v>28109</v>
      </c>
      <c r="F2">
        <f>AVERAGE(F7:F14)</f>
        <v>3.8235092723928228E-2</v>
      </c>
    </row>
    <row r="3" spans="1:6" x14ac:dyDescent="0.25">
      <c r="B3" s="1" t="s">
        <v>2</v>
      </c>
      <c r="D3">
        <f>MEDIAN(D6:D14)</f>
        <v>673394</v>
      </c>
      <c r="E3">
        <f>MEDIAN(E7:E14)</f>
        <v>12070.5</v>
      </c>
      <c r="F3">
        <f>MEDIAN(F7:F14)</f>
        <v>1.7006672427082207E-2</v>
      </c>
    </row>
    <row r="4" spans="1:6" x14ac:dyDescent="0.25">
      <c r="B4" s="1" t="s">
        <v>3</v>
      </c>
      <c r="D4">
        <f>STDEV(D6:D14)</f>
        <v>73608.902493365429</v>
      </c>
      <c r="E4">
        <f>STDEV(E7:E14)</f>
        <v>32920.251396366948</v>
      </c>
      <c r="F4">
        <f>STDEV(F7:F14)</f>
        <v>4.6654062754164144E-2</v>
      </c>
    </row>
    <row r="5" spans="1:6" x14ac:dyDescent="0.25">
      <c r="A5" t="s">
        <v>4</v>
      </c>
      <c r="B5" s="1" t="s">
        <v>5</v>
      </c>
    </row>
    <row r="6" spans="1:6" x14ac:dyDescent="0.25">
      <c r="A6" s="9" t="s">
        <v>389</v>
      </c>
      <c r="B6" s="10" t="s">
        <v>430</v>
      </c>
      <c r="D6">
        <v>661051</v>
      </c>
    </row>
    <row r="7" spans="1:6" x14ac:dyDescent="0.25">
      <c r="A7" s="9" t="s">
        <v>390</v>
      </c>
      <c r="B7" s="10" t="s">
        <v>431</v>
      </c>
      <c r="D7">
        <v>665253</v>
      </c>
      <c r="E7">
        <v>2703</v>
      </c>
      <c r="F7">
        <f>E7/D7</f>
        <v>4.0631158371326401E-3</v>
      </c>
    </row>
    <row r="8" spans="1:6" x14ac:dyDescent="0.25">
      <c r="A8" s="9" t="s">
        <v>391</v>
      </c>
      <c r="B8" s="10" t="s">
        <v>429</v>
      </c>
      <c r="D8">
        <v>673394</v>
      </c>
      <c r="E8">
        <v>5213</v>
      </c>
      <c r="F8">
        <f t="shared" ref="F8:F14" si="0">E8/D8</f>
        <v>7.741381717092816E-3</v>
      </c>
    </row>
    <row r="9" spans="1:6" x14ac:dyDescent="0.25">
      <c r="A9" s="9" t="s">
        <v>392</v>
      </c>
      <c r="B9" s="10" t="s">
        <v>432</v>
      </c>
      <c r="D9">
        <v>728989</v>
      </c>
      <c r="E9">
        <v>17118</v>
      </c>
      <c r="F9">
        <f t="shared" si="0"/>
        <v>2.348183580273502E-2</v>
      </c>
    </row>
    <row r="10" spans="1:6" x14ac:dyDescent="0.25">
      <c r="A10" s="9" t="s">
        <v>393</v>
      </c>
      <c r="B10" s="10" t="s">
        <v>433</v>
      </c>
      <c r="D10">
        <v>780781</v>
      </c>
      <c r="E10">
        <v>40834</v>
      </c>
      <c r="F10">
        <f t="shared" si="0"/>
        <v>5.2298916085304327E-2</v>
      </c>
    </row>
    <row r="11" spans="1:6" x14ac:dyDescent="0.25">
      <c r="A11" s="9" t="s">
        <v>394</v>
      </c>
      <c r="B11" s="10" t="s">
        <v>434</v>
      </c>
      <c r="D11">
        <v>780848</v>
      </c>
      <c r="E11">
        <v>147</v>
      </c>
      <c r="F11">
        <f t="shared" si="0"/>
        <v>1.8825686945474662E-4</v>
      </c>
    </row>
    <row r="12" spans="1:6" x14ac:dyDescent="0.25">
      <c r="A12" s="9" t="s">
        <v>435</v>
      </c>
      <c r="B12" s="10" t="s">
        <v>436</v>
      </c>
      <c r="D12">
        <v>864110</v>
      </c>
      <c r="E12">
        <v>62954</v>
      </c>
      <c r="F12">
        <f t="shared" si="0"/>
        <v>7.2854150513244842E-2</v>
      </c>
    </row>
    <row r="13" spans="1:6" x14ac:dyDescent="0.25">
      <c r="A13" s="9" t="s">
        <v>395</v>
      </c>
      <c r="B13" s="10" t="s">
        <v>437</v>
      </c>
      <c r="D13">
        <v>659731</v>
      </c>
      <c r="E13">
        <v>88880</v>
      </c>
      <c r="F13">
        <f t="shared" si="0"/>
        <v>0.13472157591503203</v>
      </c>
    </row>
    <row r="14" spans="1:6" x14ac:dyDescent="0.25">
      <c r="A14" s="9" t="s">
        <v>396</v>
      </c>
      <c r="B14" s="10" t="s">
        <v>438</v>
      </c>
      <c r="D14">
        <v>666856</v>
      </c>
      <c r="E14">
        <v>7023</v>
      </c>
      <c r="F14">
        <f t="shared" si="0"/>
        <v>1.0531509051429393E-2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10EF-FB4E-4F2F-9FF7-D2211F9E746D}">
  <dimension ref="A1:F12"/>
  <sheetViews>
    <sheetView workbookViewId="0">
      <selection activeCell="D12" sqref="D12"/>
    </sheetView>
  </sheetViews>
  <sheetFormatPr defaultRowHeight="15" x14ac:dyDescent="0.25"/>
  <cols>
    <col min="2" max="2" width="14.140625" customWidth="1"/>
  </cols>
  <sheetData>
    <row r="1" spans="1:6" x14ac:dyDescent="0.25">
      <c r="B1" s="1"/>
      <c r="C1" t="s">
        <v>0</v>
      </c>
      <c r="D1" t="s">
        <v>210</v>
      </c>
      <c r="E1" s="5" t="s">
        <v>440</v>
      </c>
      <c r="F1" s="5" t="s">
        <v>441</v>
      </c>
    </row>
    <row r="2" spans="1:6" x14ac:dyDescent="0.25">
      <c r="B2" s="1" t="s">
        <v>1</v>
      </c>
      <c r="C2">
        <f>AVERAGE(C6:C174)</f>
        <v>161.80000000000001</v>
      </c>
      <c r="D2">
        <f>AVERAGE(D6:D34)</f>
        <v>8552.5714285714294</v>
      </c>
      <c r="E2">
        <f>AVERAGE(E7:E34)</f>
        <v>357.4</v>
      </c>
      <c r="F2">
        <f>AVERAGE(F7:F34)</f>
        <v>6.9266324265234477E-2</v>
      </c>
    </row>
    <row r="3" spans="1:6" x14ac:dyDescent="0.25">
      <c r="B3" s="1" t="s">
        <v>2</v>
      </c>
      <c r="C3">
        <f>MEDIAN(C6:C174)</f>
        <v>37</v>
      </c>
      <c r="D3">
        <f>MEDIAN(D6:D34)</f>
        <v>5286</v>
      </c>
      <c r="E3">
        <f>MEDIAN(E7:E34)</f>
        <v>374</v>
      </c>
      <c r="F3">
        <f>MEDIAN(F7:F34)</f>
        <v>4.9365628604382927E-2</v>
      </c>
    </row>
    <row r="4" spans="1:6" x14ac:dyDescent="0.25">
      <c r="B4" s="1" t="s">
        <v>3</v>
      </c>
      <c r="C4">
        <f>STDEV(C6:C174)</f>
        <v>307.7250396051644</v>
      </c>
      <c r="D4">
        <f>STDEV(D6:D34)</f>
        <v>9659.4123157526665</v>
      </c>
      <c r="E4">
        <f>STDEV(E7:E34)</f>
        <v>320.24490628267608</v>
      </c>
      <c r="F4">
        <f>STDEV(F7:F34)</f>
        <v>6.4875011527895529E-2</v>
      </c>
    </row>
    <row r="5" spans="1:6" x14ac:dyDescent="0.25">
      <c r="A5" t="s">
        <v>4</v>
      </c>
      <c r="B5" s="1" t="s">
        <v>5</v>
      </c>
    </row>
    <row r="6" spans="1:6" x14ac:dyDescent="0.25">
      <c r="A6" s="13" t="s">
        <v>392</v>
      </c>
      <c r="B6" s="4">
        <v>40105</v>
      </c>
      <c r="C6">
        <f>DATEDIF(B6,B7,"d")</f>
        <v>0</v>
      </c>
      <c r="D6">
        <v>1854</v>
      </c>
    </row>
    <row r="7" spans="1:6" x14ac:dyDescent="0.25">
      <c r="A7" s="13" t="s">
        <v>465</v>
      </c>
      <c r="B7" s="4">
        <v>40105</v>
      </c>
      <c r="C7">
        <f t="shared" ref="C7:C10" si="0">DATEDIF(B7,B8,"d")</f>
        <v>37</v>
      </c>
      <c r="D7">
        <v>3356</v>
      </c>
      <c r="E7">
        <v>374</v>
      </c>
      <c r="F7">
        <f>E7/D7</f>
        <v>0.11144219308700834</v>
      </c>
    </row>
    <row r="8" spans="1:6" x14ac:dyDescent="0.25">
      <c r="A8" s="13" t="s">
        <v>462</v>
      </c>
      <c r="B8" s="4">
        <v>40142</v>
      </c>
      <c r="C8">
        <f t="shared" si="0"/>
        <v>9</v>
      </c>
      <c r="D8">
        <v>5282</v>
      </c>
      <c r="E8">
        <v>841</v>
      </c>
      <c r="F8">
        <f t="shared" ref="F8:F11" si="1">E8/D8</f>
        <v>0.15921999242711093</v>
      </c>
    </row>
    <row r="9" spans="1:6" x14ac:dyDescent="0.25">
      <c r="A9" s="13" t="s">
        <v>463</v>
      </c>
      <c r="B9" s="4">
        <v>40151</v>
      </c>
      <c r="C9">
        <f t="shared" si="0"/>
        <v>52</v>
      </c>
      <c r="D9">
        <v>5286</v>
      </c>
      <c r="E9">
        <v>8</v>
      </c>
      <c r="F9">
        <f t="shared" si="1"/>
        <v>1.5134317063942491E-3</v>
      </c>
    </row>
    <row r="10" spans="1:6" x14ac:dyDescent="0.25">
      <c r="A10" s="13" t="s">
        <v>464</v>
      </c>
      <c r="B10" s="4">
        <v>40203</v>
      </c>
      <c r="C10">
        <f t="shared" si="0"/>
        <v>711</v>
      </c>
      <c r="D10">
        <v>5486</v>
      </c>
      <c r="E10">
        <v>136</v>
      </c>
      <c r="F10">
        <f t="shared" si="1"/>
        <v>2.4790375501275976E-2</v>
      </c>
    </row>
    <row r="11" spans="1:6" x14ac:dyDescent="0.25">
      <c r="A11" s="13" t="s">
        <v>376</v>
      </c>
      <c r="B11" s="4">
        <v>40914</v>
      </c>
      <c r="D11">
        <v>8670</v>
      </c>
      <c r="E11">
        <v>428</v>
      </c>
      <c r="F11">
        <f t="shared" si="1"/>
        <v>4.9365628604382927E-2</v>
      </c>
    </row>
    <row r="12" spans="1:6" x14ac:dyDescent="0.25">
      <c r="D12">
        <f>SUM(D6:D11)</f>
        <v>29934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OverAll</vt:lpstr>
      <vt:lpstr>OpenChord</vt:lpstr>
      <vt:lpstr>Thrift</vt:lpstr>
      <vt:lpstr>xSocket</vt:lpstr>
      <vt:lpstr>Voldemort</vt:lpstr>
      <vt:lpstr>Zookeeper</vt:lpstr>
      <vt:lpstr>Netty</vt:lpstr>
      <vt:lpstr>Derby</vt:lpstr>
      <vt:lpstr>Karaf</vt:lpstr>
      <vt:lpstr>Cassandra</vt:lpstr>
      <vt:lpstr>HBase</vt:lpstr>
      <vt:lpstr>XNIO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2018-12-20T14:09:50Z</dcterms:created>
  <dcterms:modified xsi:type="dcterms:W3CDTF">2019-01-23T04:55:04Z</dcterms:modified>
</cp:coreProperties>
</file>