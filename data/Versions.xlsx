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distMetricsResults\"/>
    </mc:Choice>
  </mc:AlternateContent>
  <xr:revisionPtr revIDLastSave="0" documentId="13_ncr:1_{2DF2B270-F49A-4359-8A6B-5296645EEFCF}" xr6:coauthVersionLast="40" xr6:coauthVersionMax="40" xr10:uidLastSave="{00000000-0000-0000-0000-000000000000}"/>
  <bookViews>
    <workbookView xWindow="0" yWindow="0" windowWidth="15360" windowHeight="7485" activeTab="2" xr2:uid="{00000000-000D-0000-FFFF-FFFF00000000}"/>
  </bookViews>
  <sheets>
    <sheet name="OverAll" sheetId="13" r:id="rId1"/>
    <sheet name="OpenChord" sheetId="14" r:id="rId2"/>
    <sheet name="Thrift" sheetId="4" r:id="rId3"/>
    <sheet name="xSocket" sheetId="3" r:id="rId4"/>
    <sheet name="Voldemort" sheetId="2" r:id="rId5"/>
    <sheet name="Zookeeper" sheetId="1" r:id="rId6"/>
    <sheet name="Netty" sheetId="5" r:id="rId7"/>
    <sheet name="Derby" sheetId="6" r:id="rId8"/>
    <sheet name="Karaf" sheetId="12" r:id="rId9"/>
    <sheet name="Cassandra" sheetId="8" r:id="rId10"/>
    <sheet name="HBase" sheetId="11" r:id="rId11"/>
    <sheet name="XNIO" sheetId="15" r:id="rId12"/>
    <sheet name="Sheet2" sheetId="16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0" i="4" l="1"/>
  <c r="E19" i="4"/>
  <c r="C20" i="4" l="1"/>
  <c r="E15" i="13" l="1"/>
  <c r="C7" i="15" l="1"/>
  <c r="C3" i="15" s="1"/>
  <c r="C8" i="15"/>
  <c r="C9" i="15"/>
  <c r="C10" i="15"/>
  <c r="C6" i="15"/>
  <c r="C6" i="8"/>
  <c r="C4" i="15" l="1"/>
  <c r="C2" i="15"/>
  <c r="E7" i="13"/>
  <c r="E8" i="13"/>
  <c r="E9" i="13"/>
  <c r="E10" i="13"/>
  <c r="E11" i="13"/>
  <c r="E12" i="13"/>
  <c r="E13" i="13"/>
  <c r="E6" i="13"/>
  <c r="D6" i="13" l="1"/>
  <c r="D7" i="13"/>
  <c r="C10" i="14"/>
  <c r="C9" i="14"/>
  <c r="C8" i="14"/>
  <c r="C7" i="14"/>
  <c r="C6" i="14"/>
  <c r="C2" i="14" s="1"/>
  <c r="C4" i="14"/>
  <c r="C3" i="14"/>
  <c r="D13" i="13" l="1"/>
  <c r="D12" i="13"/>
  <c r="D11" i="13"/>
  <c r="D10" i="13"/>
  <c r="D9" i="13"/>
  <c r="D8" i="13"/>
  <c r="C4" i="5" l="1"/>
  <c r="C3" i="5"/>
  <c r="C2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2" i="5"/>
  <c r="C71" i="5"/>
  <c r="C70" i="5"/>
  <c r="C69" i="5"/>
  <c r="C68" i="5"/>
  <c r="C67" i="5"/>
  <c r="C65" i="5"/>
  <c r="C64" i="5"/>
  <c r="C63" i="5"/>
  <c r="C62" i="5"/>
  <c r="C61" i="5"/>
  <c r="C60" i="5"/>
  <c r="C59" i="5"/>
  <c r="C58" i="5"/>
  <c r="C57" i="5"/>
  <c r="C55" i="5"/>
  <c r="C53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0" i="5"/>
  <c r="C9" i="5"/>
  <c r="C8" i="5"/>
  <c r="C7" i="5"/>
  <c r="C6" i="5"/>
  <c r="C4" i="8" l="1"/>
  <c r="C3" i="8"/>
  <c r="C2" i="8"/>
  <c r="D14" i="13" s="1"/>
  <c r="C161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6" i="8"/>
  <c r="C27" i="8"/>
  <c r="C28" i="8"/>
  <c r="C29" i="8"/>
  <c r="C30" i="8"/>
  <c r="C31" i="8"/>
  <c r="C32" i="8"/>
  <c r="C33" i="8"/>
  <c r="C34" i="8"/>
  <c r="C35" i="8"/>
  <c r="C37" i="8"/>
  <c r="C38" i="8"/>
  <c r="C39" i="8"/>
  <c r="C40" i="8"/>
  <c r="C41" i="8"/>
  <c r="C42" i="8"/>
  <c r="C43" i="8"/>
  <c r="C44" i="8"/>
  <c r="C45" i="8"/>
  <c r="C46" i="8"/>
  <c r="C48" i="8"/>
  <c r="C49" i="8"/>
  <c r="C50" i="8"/>
  <c r="C51" i="8"/>
  <c r="C52" i="8"/>
  <c r="C53" i="8"/>
  <c r="C54" i="8"/>
  <c r="C55" i="8"/>
  <c r="C56" i="8"/>
  <c r="C57" i="8"/>
  <c r="C58" i="8"/>
  <c r="C59" i="8"/>
  <c r="C61" i="8"/>
  <c r="C62" i="8"/>
  <c r="C63" i="8"/>
  <c r="C64" i="8"/>
  <c r="C65" i="8"/>
  <c r="C66" i="8"/>
  <c r="C67" i="8"/>
  <c r="C68" i="8"/>
  <c r="C69" i="8"/>
  <c r="C70" i="8"/>
  <c r="C71" i="8"/>
  <c r="C72" i="8"/>
  <c r="C74" i="8"/>
  <c r="C75" i="8"/>
  <c r="C76" i="8"/>
  <c r="C77" i="8"/>
  <c r="C78" i="8"/>
  <c r="C79" i="8"/>
  <c r="C81" i="8"/>
  <c r="C82" i="8"/>
  <c r="C83" i="8"/>
  <c r="C84" i="8"/>
  <c r="C85" i="8"/>
  <c r="C86" i="8"/>
  <c r="C87" i="8"/>
  <c r="C88" i="8"/>
  <c r="C89" i="8"/>
  <c r="C90" i="8"/>
  <c r="C91" i="8"/>
  <c r="C92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1" i="8"/>
  <c r="C132" i="8"/>
  <c r="C133" i="8"/>
  <c r="C134" i="8"/>
  <c r="C135" i="8"/>
  <c r="C136" i="8"/>
  <c r="C137" i="8"/>
  <c r="C138" i="8"/>
  <c r="C139" i="8"/>
  <c r="C140" i="8"/>
  <c r="C141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6" i="12"/>
  <c r="E14" i="13" l="1"/>
  <c r="D2" i="13"/>
  <c r="D3" i="13"/>
  <c r="D4" i="13"/>
  <c r="C4" i="11"/>
  <c r="C3" i="11"/>
  <c r="C2" i="11"/>
  <c r="C9" i="11"/>
  <c r="C10" i="11"/>
  <c r="C11" i="11"/>
  <c r="C12" i="11"/>
  <c r="C13" i="11"/>
  <c r="C15" i="11"/>
  <c r="C16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6" i="11"/>
  <c r="C47" i="11"/>
  <c r="C48" i="11"/>
  <c r="C49" i="11"/>
  <c r="C50" i="11"/>
  <c r="C52" i="11"/>
  <c r="C53" i="11"/>
  <c r="C54" i="11"/>
  <c r="C55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7" i="11"/>
  <c r="C78" i="11"/>
  <c r="C79" i="11"/>
  <c r="C80" i="11"/>
  <c r="C81" i="11"/>
  <c r="C82" i="11"/>
  <c r="C84" i="11"/>
  <c r="C85" i="11"/>
  <c r="C86" i="11"/>
  <c r="C87" i="11"/>
  <c r="C88" i="11"/>
  <c r="C89" i="11"/>
  <c r="C91" i="11"/>
  <c r="C92" i="11"/>
  <c r="C93" i="11"/>
  <c r="C94" i="11"/>
  <c r="C95" i="11"/>
  <c r="C96" i="11"/>
  <c r="C97" i="11"/>
  <c r="C99" i="11"/>
  <c r="C100" i="11"/>
  <c r="C101" i="11"/>
  <c r="C102" i="11"/>
  <c r="C103" i="11"/>
  <c r="C104" i="11"/>
  <c r="C105" i="11"/>
  <c r="C106" i="11"/>
  <c r="C107" i="11"/>
  <c r="C109" i="11"/>
  <c r="C110" i="11"/>
  <c r="C112" i="11"/>
  <c r="C113" i="11"/>
  <c r="C114" i="11"/>
  <c r="C115" i="11"/>
  <c r="C116" i="11"/>
  <c r="C117" i="11"/>
  <c r="C118" i="11"/>
  <c r="C119" i="11"/>
  <c r="C120" i="11"/>
  <c r="C122" i="11"/>
  <c r="C123" i="11"/>
  <c r="C124" i="11"/>
  <c r="C126" i="11"/>
  <c r="C6" i="11"/>
  <c r="E3" i="13" l="1"/>
  <c r="E2" i="13"/>
  <c r="E4" i="13"/>
  <c r="C4" i="12"/>
  <c r="C3" i="12"/>
  <c r="C2" i="12"/>
  <c r="C4" i="6"/>
  <c r="C3" i="6"/>
  <c r="C2" i="6"/>
  <c r="C7" i="12"/>
  <c r="C8" i="12"/>
  <c r="C9" i="12"/>
  <c r="C10" i="12"/>
  <c r="C11" i="12"/>
  <c r="C12" i="12"/>
  <c r="C13" i="12"/>
  <c r="C14" i="12"/>
  <c r="C16" i="12"/>
  <c r="C17" i="12"/>
  <c r="C18" i="12"/>
  <c r="C19" i="12"/>
  <c r="C20" i="12"/>
  <c r="C21" i="12"/>
  <c r="C22" i="12"/>
  <c r="C23" i="12"/>
  <c r="C24" i="12"/>
  <c r="C25" i="12"/>
  <c r="C27" i="12"/>
  <c r="C28" i="12"/>
  <c r="C29" i="12"/>
  <c r="C30" i="12"/>
  <c r="C31" i="12"/>
  <c r="C32" i="12"/>
  <c r="C33" i="12"/>
  <c r="C35" i="12"/>
  <c r="C36" i="12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1" i="6"/>
  <c r="C22" i="6"/>
  <c r="C23" i="6"/>
  <c r="C24" i="6"/>
  <c r="C25" i="6"/>
  <c r="C26" i="6"/>
  <c r="C6" i="6"/>
  <c r="C2" i="4"/>
  <c r="C6" i="4"/>
  <c r="C7" i="4" l="1"/>
  <c r="C8" i="4"/>
  <c r="C9" i="4"/>
  <c r="C10" i="4"/>
  <c r="C11" i="4"/>
  <c r="C12" i="4"/>
  <c r="C13" i="4"/>
  <c r="C14" i="4"/>
  <c r="C15" i="4"/>
  <c r="C16" i="4"/>
  <c r="C17" i="4"/>
  <c r="C18" i="4"/>
  <c r="C19" i="4"/>
  <c r="C7" i="3"/>
  <c r="C8" i="3"/>
  <c r="C9" i="3"/>
  <c r="C10" i="3"/>
  <c r="C11" i="3"/>
  <c r="C12" i="3"/>
  <c r="C13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" i="3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6" i="2"/>
  <c r="C7" i="1"/>
  <c r="C8" i="1"/>
  <c r="C9" i="1"/>
  <c r="C11" i="1"/>
  <c r="C12" i="1"/>
  <c r="C13" i="1"/>
  <c r="C14" i="1"/>
  <c r="C15" i="1"/>
  <c r="C16" i="1"/>
  <c r="C17" i="1"/>
  <c r="C18" i="1"/>
  <c r="C19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5" i="1"/>
  <c r="C36" i="1"/>
  <c r="C37" i="1"/>
  <c r="C38" i="1"/>
  <c r="C6" i="1"/>
  <c r="C3" i="1" l="1"/>
  <c r="C4" i="1"/>
  <c r="C2" i="1"/>
  <c r="C4" i="2"/>
  <c r="C2" i="3"/>
  <c r="C3" i="4"/>
  <c r="C3" i="3"/>
  <c r="C4" i="3"/>
  <c r="C2" i="2"/>
  <c r="C4" i="4"/>
  <c r="C3" i="2"/>
</calcChain>
</file>

<file path=xl/sharedStrings.xml><?xml version="1.0" encoding="utf-8"?>
<sst xmlns="http://schemas.openxmlformats.org/spreadsheetml/2006/main" count="1072" uniqueCount="870">
  <si>
    <t>DateDiff</t>
  </si>
  <si>
    <t>Average</t>
  </si>
  <si>
    <t>Median</t>
  </si>
  <si>
    <t>Stdev</t>
  </si>
  <si>
    <t>Version</t>
  </si>
  <si>
    <t>Start_Date</t>
  </si>
  <si>
    <t>V0.9-beta-1</t>
  </si>
  <si>
    <t>V1.5.1</t>
  </si>
  <si>
    <t>V1.0-beta-1</t>
  </si>
  <si>
    <t>V1.5.2</t>
  </si>
  <si>
    <t>V3.0.0</t>
  </si>
  <si>
    <t>V1.0-beta-2</t>
  </si>
  <si>
    <t>V1.5.4</t>
  </si>
  <si>
    <t>V1.0-beta-3</t>
  </si>
  <si>
    <t>V1.5.7</t>
  </si>
  <si>
    <t>V3.0.1</t>
  </si>
  <si>
    <t>V1.0-beta-4</t>
  </si>
  <si>
    <t>V3.1.0</t>
  </si>
  <si>
    <t>V1.5.8</t>
  </si>
  <si>
    <t>V1.0</t>
  </si>
  <si>
    <t>V1.1</t>
  </si>
  <si>
    <t>V1.5.9</t>
  </si>
  <si>
    <t>V3.1.1</t>
  </si>
  <si>
    <t>V1.2</t>
  </si>
  <si>
    <t>V3.1.2</t>
  </si>
  <si>
    <t>V1.6.0</t>
  </si>
  <si>
    <t>V1.2.1</t>
  </si>
  <si>
    <t>V3.2.0</t>
  </si>
  <si>
    <t>V2.0-alpha-1</t>
  </si>
  <si>
    <t>V3.2.1</t>
  </si>
  <si>
    <t>V1.6.1</t>
  </si>
  <si>
    <t>V2.0-alpha-2</t>
  </si>
  <si>
    <t>V3.2.2</t>
  </si>
  <si>
    <t>V2.0-beta-1</t>
  </si>
  <si>
    <t>V1.6.2</t>
  </si>
  <si>
    <t>V3.3.0</t>
  </si>
  <si>
    <t>V2.0-beta-2</t>
  </si>
  <si>
    <t>V1.6.3</t>
  </si>
  <si>
    <t>V2.0</t>
  </si>
  <si>
    <t>V1.6.4</t>
  </si>
  <si>
    <t>V3.3.1</t>
  </si>
  <si>
    <t>V2.1</t>
  </si>
  <si>
    <t>V1.6.6</t>
  </si>
  <si>
    <t>V3.3.2</t>
  </si>
  <si>
    <t>V2.1.1</t>
  </si>
  <si>
    <t>V1.6.8</t>
  </si>
  <si>
    <t>V2.1.2</t>
  </si>
  <si>
    <t>V3.3.3</t>
  </si>
  <si>
    <t>V1.7.0</t>
  </si>
  <si>
    <t>V2.2</t>
  </si>
  <si>
    <t>V3.3.4</t>
  </si>
  <si>
    <t>V2.3</t>
  </si>
  <si>
    <t>V1.7.1</t>
  </si>
  <si>
    <t>V3.3.5</t>
  </si>
  <si>
    <t>V2.3.1</t>
  </si>
  <si>
    <t>V1.7.2</t>
  </si>
  <si>
    <t>V2.3.2</t>
  </si>
  <si>
    <t>V3.3.6</t>
  </si>
  <si>
    <t>V3.4.0</t>
  </si>
  <si>
    <t>V1.7.3</t>
  </si>
  <si>
    <t>V2.4</t>
  </si>
  <si>
    <t>V1.8.1</t>
  </si>
  <si>
    <t>V2.4.1</t>
  </si>
  <si>
    <t>V2.4.2</t>
  </si>
  <si>
    <t>V2.4.3</t>
  </si>
  <si>
    <t>V1.8.3</t>
  </si>
  <si>
    <t>V3.4.1</t>
  </si>
  <si>
    <t>V2.4.4</t>
  </si>
  <si>
    <t>V1.8.4</t>
  </si>
  <si>
    <t>V2.4.5</t>
  </si>
  <si>
    <t>V3.4.2</t>
  </si>
  <si>
    <t>V1.8.5</t>
  </si>
  <si>
    <t>V2.4.6</t>
  </si>
  <si>
    <t>V3.4.3</t>
  </si>
  <si>
    <t>V1.8.8</t>
  </si>
  <si>
    <t>V3.4.4</t>
  </si>
  <si>
    <t>V2.5</t>
  </si>
  <si>
    <t>V1.8.9</t>
  </si>
  <si>
    <t>V3.4.5</t>
  </si>
  <si>
    <t>V2.5.1</t>
  </si>
  <si>
    <t>V1.8.10</t>
  </si>
  <si>
    <t>V2.5.2</t>
  </si>
  <si>
    <t>V1.8.11</t>
  </si>
  <si>
    <t>V3.4.6</t>
  </si>
  <si>
    <t>V2.5.3</t>
  </si>
  <si>
    <t>V1.8.12</t>
  </si>
  <si>
    <t>V3.4.8</t>
  </si>
  <si>
    <t>V2.5.4</t>
  </si>
  <si>
    <t>V1.8.13</t>
  </si>
  <si>
    <t>V3.4.9</t>
  </si>
  <si>
    <t>V2.5.5</t>
  </si>
  <si>
    <t>V1.8.14</t>
  </si>
  <si>
    <t>V3.4.10</t>
  </si>
  <si>
    <t>V2.6.0</t>
  </si>
  <si>
    <t>V1.8.15</t>
  </si>
  <si>
    <t>V2.6.1</t>
  </si>
  <si>
    <t>V3.4.11</t>
  </si>
  <si>
    <t>V1.8.16</t>
  </si>
  <si>
    <t>V3.4.12</t>
  </si>
  <si>
    <t>V2.6.2</t>
  </si>
  <si>
    <t>V1.9.0</t>
  </si>
  <si>
    <t>V2.6.3</t>
  </si>
  <si>
    <t>V3.4.13</t>
  </si>
  <si>
    <t>V2.6.4</t>
  </si>
  <si>
    <t>V1.9.1</t>
  </si>
  <si>
    <t>V2.6.5</t>
  </si>
  <si>
    <t>V1.9.2</t>
  </si>
  <si>
    <t>V3.5.0</t>
  </si>
  <si>
    <t>V2.6.6</t>
  </si>
  <si>
    <t>V1.9.3</t>
  </si>
  <si>
    <t>V2.7</t>
  </si>
  <si>
    <t>V1.9.4</t>
  </si>
  <si>
    <t>V2.7.1</t>
  </si>
  <si>
    <t>V1.9.5</t>
  </si>
  <si>
    <t>V2.7.2</t>
  </si>
  <si>
    <t>V1.9.6</t>
  </si>
  <si>
    <t>V3.5.1</t>
  </si>
  <si>
    <t>V2.8</t>
  </si>
  <si>
    <t>V1.9.7</t>
  </si>
  <si>
    <t>V3.5.2</t>
  </si>
  <si>
    <t>V1.9.8</t>
  </si>
  <si>
    <t>V3.5.3</t>
  </si>
  <si>
    <t>V1.9.9</t>
  </si>
  <si>
    <t>V2.8.1</t>
  </si>
  <si>
    <t>V3.5.4</t>
  </si>
  <si>
    <t>V1.9.10</t>
  </si>
  <si>
    <t>V2.8.2</t>
  </si>
  <si>
    <t>V1.9.11</t>
  </si>
  <si>
    <t>V2.8.3</t>
  </si>
  <si>
    <t>V1.9.12</t>
  </si>
  <si>
    <t>V2.8.4</t>
  </si>
  <si>
    <t>V1.9.13</t>
  </si>
  <si>
    <t>V2.8.5</t>
  </si>
  <si>
    <t>V1.9.14</t>
  </si>
  <si>
    <t>V2.8.6</t>
  </si>
  <si>
    <t>V1.9.15</t>
  </si>
  <si>
    <t>V2.8.7</t>
  </si>
  <si>
    <t>V1.9.16</t>
  </si>
  <si>
    <t>V2.8.8</t>
  </si>
  <si>
    <t>V1.9.17</t>
  </si>
  <si>
    <t>V2.8.9</t>
  </si>
  <si>
    <t>V2.8.10</t>
  </si>
  <si>
    <t>V1.9.18</t>
  </si>
  <si>
    <t>V2.8.11</t>
  </si>
  <si>
    <t>V1.9.19</t>
  </si>
  <si>
    <t>V2.8.12</t>
  </si>
  <si>
    <t>V1.9.20</t>
  </si>
  <si>
    <t>V2.8.13</t>
  </si>
  <si>
    <t>V1.9.21</t>
  </si>
  <si>
    <t>V2.8.14</t>
  </si>
  <si>
    <t>V2.8.15</t>
  </si>
  <si>
    <t>V1.9.22</t>
  </si>
  <si>
    <t>V1.10.0</t>
  </si>
  <si>
    <t>V1.10.1</t>
  </si>
  <si>
    <t>V1.10.2</t>
  </si>
  <si>
    <t>V1.10.3</t>
  </si>
  <si>
    <t>V1.10.4</t>
  </si>
  <si>
    <t>V1.10.5</t>
  </si>
  <si>
    <t>V1.10.6</t>
  </si>
  <si>
    <t>V1.10.7</t>
  </si>
  <si>
    <t>V1.10.8</t>
  </si>
  <si>
    <t>V1.10.9</t>
  </si>
  <si>
    <t>V1.10.10</t>
  </si>
  <si>
    <t>V1.10.11</t>
  </si>
  <si>
    <t>V1.10.12</t>
  </si>
  <si>
    <t>V1.10.13</t>
  </si>
  <si>
    <t>V1.10.14</t>
  </si>
  <si>
    <t>V1.10.15</t>
  </si>
  <si>
    <t>V1.10.16</t>
  </si>
  <si>
    <t>V1.10.17</t>
  </si>
  <si>
    <t>V1.10.18</t>
  </si>
  <si>
    <t>V1.10.19</t>
  </si>
  <si>
    <t>V1.10.20</t>
  </si>
  <si>
    <t>V1.10.21</t>
  </si>
  <si>
    <t>V1.10.22</t>
  </si>
  <si>
    <t>V1.10.23</t>
  </si>
  <si>
    <t>V1.10.24</t>
  </si>
  <si>
    <t>V1.10.25</t>
  </si>
  <si>
    <t>V1.10.26</t>
  </si>
  <si>
    <t>V0.2.0</t>
  </si>
  <si>
    <t>V0.3.0</t>
  </si>
  <si>
    <t>V0.4.0</t>
  </si>
  <si>
    <t>V0.5.0</t>
  </si>
  <si>
    <t>V0.6.0</t>
  </si>
  <si>
    <t>V0.6.1</t>
  </si>
  <si>
    <t>V0.7.0</t>
  </si>
  <si>
    <t>V0.8.0</t>
  </si>
  <si>
    <t>V0.9.0</t>
  </si>
  <si>
    <t>V0.9.1</t>
  </si>
  <si>
    <t>hier</t>
  </si>
  <si>
    <t>V0.9.2</t>
  </si>
  <si>
    <t>V0.9.3</t>
  </si>
  <si>
    <t>V0.10.0</t>
  </si>
  <si>
    <t>V0.11.0</t>
  </si>
  <si>
    <t>V1.4.0</t>
  </si>
  <si>
    <t>3.1.0</t>
  </si>
  <si>
    <t>3.1.1</t>
  </si>
  <si>
    <t>3.1.2</t>
  </si>
  <si>
    <t>3.1.3</t>
  </si>
  <si>
    <t>3.1.4</t>
  </si>
  <si>
    <t>3.1.5</t>
  </si>
  <si>
    <t>3.2.0</t>
  </si>
  <si>
    <t>3.2.1</t>
  </si>
  <si>
    <t>3.2.2</t>
  </si>
  <si>
    <t>3.2.3</t>
  </si>
  <si>
    <t>3.2.4</t>
  </si>
  <si>
    <t>3.2.5</t>
  </si>
  <si>
    <t>3.2.6</t>
  </si>
  <si>
    <t>V3.4.7</t>
  </si>
  <si>
    <t>3.3.0</t>
  </si>
  <si>
    <t>3.3.1</t>
  </si>
  <si>
    <t>3.4.0</t>
  </si>
  <si>
    <t>3.4.1</t>
  </si>
  <si>
    <t>3.4.2</t>
  </si>
  <si>
    <t>3.4.3</t>
  </si>
  <si>
    <t>3.4.4</t>
  </si>
  <si>
    <t>3.4.5</t>
  </si>
  <si>
    <t>3.4.6</t>
  </si>
  <si>
    <t>3.5.0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</si>
  <si>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</si>
  <si>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</si>
  <si>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</si>
  <si>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</si>
  <si>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</si>
  <si>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</si>
  <si>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</si>
  <si>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</si>
  <si>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3.5.9</t>
  </si>
  <si>
    <t>3.5.10</t>
  </si>
  <si>
    <t>3.5.11</t>
  </si>
  <si>
    <t>3.6.0</t>
  </si>
  <si>
    <t>3.6.1</t>
  </si>
  <si>
    <t>3.6.2</t>
  </si>
  <si>
    <t>3.6.3</t>
  </si>
  <si>
    <t>3.6.4</t>
  </si>
  <si>
    <t>3.6.5</t>
  </si>
  <si>
    <t>3.6.6</t>
  </si>
  <si>
    <t>3.6.7</t>
  </si>
  <si>
    <t>3.6.8</t>
  </si>
  <si>
    <t>3.6.9</t>
  </si>
  <si>
    <t>3.5.12</t>
  </si>
  <si>
    <t>3.5.13</t>
  </si>
  <si>
    <t>3.7.0</t>
  </si>
  <si>
    <t>3.7.1</t>
  </si>
  <si>
    <t>3.8.0</t>
  </si>
  <si>
    <t>3.9.0</t>
  </si>
  <si>
    <t>3.9.1</t>
  </si>
  <si>
    <t>3.9.2</t>
  </si>
  <si>
    <t>3.9.3</t>
  </si>
  <si>
    <t>3.9.4</t>
  </si>
  <si>
    <t>3.9.5</t>
  </si>
  <si>
    <t>3.9.6</t>
  </si>
  <si>
    <t>3.9.7</t>
  </si>
  <si>
    <t>3.9.8</t>
  </si>
  <si>
    <t>3.9.9</t>
  </si>
  <si>
    <t>4.0.0</t>
  </si>
  <si>
    <t>4.0.1</t>
  </si>
  <si>
    <t>4.0.2</t>
  </si>
  <si>
    <t>4.0.3</t>
  </si>
  <si>
    <t>4.0.4</t>
  </si>
  <si>
    <t>4.0.5</t>
  </si>
  <si>
    <t>4.0.6</t>
  </si>
  <si>
    <t>4.0.7</t>
  </si>
  <si>
    <t>4.0.8</t>
  </si>
  <si>
    <t>4.0.9</t>
  </si>
  <si>
    <t>4.0.10</t>
  </si>
  <si>
    <t>4.0.11</t>
  </si>
  <si>
    <t>4.0.12</t>
  </si>
  <si>
    <t>4.0.13</t>
  </si>
  <si>
    <t>4.0.14</t>
  </si>
  <si>
    <t>4.0.15</t>
  </si>
  <si>
    <t>4.0.17</t>
  </si>
  <si>
    <t>3.8.2</t>
  </si>
  <si>
    <t>4.0.18</t>
  </si>
  <si>
    <t>4.0.19</t>
  </si>
  <si>
    <t>4.0.20</t>
  </si>
  <si>
    <t>4.0.21</t>
  </si>
  <si>
    <t>4.0.22</t>
  </si>
  <si>
    <t>4.0.23</t>
  </si>
  <si>
    <t>4.0.24</t>
  </si>
  <si>
    <t>4.0.25</t>
  </si>
  <si>
    <t>4.0.27</t>
  </si>
  <si>
    <t>4.0.28</t>
  </si>
  <si>
    <t>4.0.29</t>
  </si>
  <si>
    <t>3.10.0</t>
  </si>
  <si>
    <t>3.10.1</t>
  </si>
  <si>
    <t>3.10.2</t>
  </si>
  <si>
    <t>3.10.3</t>
  </si>
  <si>
    <t>3.10.4</t>
  </si>
  <si>
    <t>3.10.5</t>
  </si>
  <si>
    <t>3.10.6</t>
  </si>
  <si>
    <t>4.0.30</t>
  </si>
  <si>
    <t>4.0.31</t>
  </si>
  <si>
    <t>4.0.32</t>
  </si>
  <si>
    <t>4.0.33</t>
  </si>
  <si>
    <t>4.0.34</t>
  </si>
  <si>
    <t>4.0.35</t>
  </si>
  <si>
    <t>4.0.37</t>
  </si>
  <si>
    <t>4.0.38</t>
  </si>
  <si>
    <t>4.0.39</t>
  </si>
  <si>
    <t>4.0.36</t>
  </si>
  <si>
    <t>4.0.40</t>
  </si>
  <si>
    <t>4.0.41</t>
  </si>
  <si>
    <t>4.0.42</t>
  </si>
  <si>
    <t>4.0.43</t>
  </si>
  <si>
    <t>4.0.44</t>
  </si>
  <si>
    <t>4.0.45</t>
  </si>
  <si>
    <t>4.1.0</t>
  </si>
  <si>
    <t>4.1.1</t>
  </si>
  <si>
    <t>4.1.2</t>
  </si>
  <si>
    <t>4.1.3</t>
  </si>
  <si>
    <t>4.1.4</t>
  </si>
  <si>
    <t>4.1.6</t>
  </si>
  <si>
    <t>4.1.7</t>
  </si>
  <si>
    <t>4.1.5</t>
  </si>
  <si>
    <t>4.0.46</t>
  </si>
  <si>
    <t xml:space="preserve">10.1.1.0 </t>
  </si>
  <si>
    <t>10.1.2.1</t>
  </si>
  <si>
    <t>10.1.3.1</t>
  </si>
  <si>
    <t xml:space="preserve">10.2.2.0 </t>
  </si>
  <si>
    <t>10.4.1.3</t>
  </si>
  <si>
    <t xml:space="preserve">10.3.3.0 </t>
  </si>
  <si>
    <t>10.4.2.0</t>
  </si>
  <si>
    <t>10.5.1.1</t>
  </si>
  <si>
    <t xml:space="preserve">10.5.3.0 </t>
  </si>
  <si>
    <t xml:space="preserve">10.6.1.0 </t>
  </si>
  <si>
    <t>10.6.2.1</t>
  </si>
  <si>
    <t>10.7.1.1</t>
  </si>
  <si>
    <t>10.8.1.2</t>
  </si>
  <si>
    <t>10.8.2.2</t>
  </si>
  <si>
    <t xml:space="preserve">10.8.3.0 </t>
  </si>
  <si>
    <t xml:space="preserve">10.9.1.0 </t>
  </si>
  <si>
    <t>10.10.1.1</t>
  </si>
  <si>
    <t>10.10.2.0</t>
  </si>
  <si>
    <t>10.11.1.1</t>
  </si>
  <si>
    <t>10.12.1.1</t>
  </si>
  <si>
    <t>10.13.1.1</t>
  </si>
  <si>
    <t>10.24.2.0</t>
  </si>
  <si>
    <t>4.2.0</t>
  </si>
  <si>
    <t>4.2.1</t>
  </si>
  <si>
    <t>4.2.2</t>
  </si>
  <si>
    <t>3.0.0</t>
  </si>
  <si>
    <t>3.0.1</t>
  </si>
  <si>
    <t>3.0.2</t>
  </si>
  <si>
    <t>3.0.3</t>
  </si>
  <si>
    <t>3.0.4</t>
  </si>
  <si>
    <t>3.0.5</t>
  </si>
  <si>
    <t>3.0.6</t>
  </si>
  <si>
    <t>3.0.7</t>
  </si>
  <si>
    <t>3.0.8</t>
  </si>
  <si>
    <t>3.0.9</t>
  </si>
  <si>
    <t>0.20.5</t>
  </si>
  <si>
    <t>6/24/2010</t>
  </si>
  <si>
    <t>0.20.6</t>
  </si>
  <si>
    <t>7/30/2010</t>
  </si>
  <si>
    <t>0.90.0</t>
  </si>
  <si>
    <t>6/23/2013</t>
  </si>
  <si>
    <t>0.90.1</t>
  </si>
  <si>
    <t>2/15/2011</t>
  </si>
  <si>
    <t>0.90.2</t>
  </si>
  <si>
    <t>3/27/2011</t>
  </si>
  <si>
    <t>0.90.3</t>
  </si>
  <si>
    <t>5/19/2011</t>
  </si>
  <si>
    <t>0.90.4</t>
  </si>
  <si>
    <t>7/24/2011</t>
  </si>
  <si>
    <t>0.90.5</t>
  </si>
  <si>
    <t>12/23/2011</t>
  </si>
  <si>
    <t>0.90.6</t>
  </si>
  <si>
    <t>3/16/2012</t>
  </si>
  <si>
    <t>0.92.0</t>
  </si>
  <si>
    <t>1/23/2012</t>
  </si>
  <si>
    <t>0.92.1</t>
  </si>
  <si>
    <t>3/19/2012</t>
  </si>
  <si>
    <t>0.92.2</t>
  </si>
  <si>
    <t>9/12/2012</t>
  </si>
  <si>
    <t>0.94.0</t>
  </si>
  <si>
    <t>5/15/2012</t>
  </si>
  <si>
    <t>0.94.1</t>
  </si>
  <si>
    <t>8/8/2012</t>
  </si>
  <si>
    <t>0.94.2</t>
  </si>
  <si>
    <t>10/12/2012</t>
  </si>
  <si>
    <t>0.94.3</t>
  </si>
  <si>
    <t>12/3/2012</t>
  </si>
  <si>
    <t>0.94.4</t>
  </si>
  <si>
    <t>1/12/2013</t>
  </si>
  <si>
    <t>0.94.5</t>
  </si>
  <si>
    <t>2/15/2013</t>
  </si>
  <si>
    <t>0.94.6</t>
  </si>
  <si>
    <t>3/23/2013</t>
  </si>
  <si>
    <t>0.94.7</t>
  </si>
  <si>
    <t>4/25/2013</t>
  </si>
  <si>
    <t>0.94.8</t>
  </si>
  <si>
    <t>6/1/2013</t>
  </si>
  <si>
    <t>0.94.9</t>
  </si>
  <si>
    <t>7/4/2013</t>
  </si>
  <si>
    <t>0.94.10</t>
  </si>
  <si>
    <t>7/24/2013</t>
  </si>
  <si>
    <t>0.94.11</t>
  </si>
  <si>
    <t>8/20/2013</t>
  </si>
  <si>
    <t>0.94.12</t>
  </si>
  <si>
    <t>9/24/2013</t>
  </si>
  <si>
    <t>0.94.13</t>
  </si>
  <si>
    <t>11/7/2013</t>
  </si>
  <si>
    <t>0.94.14</t>
  </si>
  <si>
    <t>11/26/2013</t>
  </si>
  <si>
    <t>0.94.15</t>
  </si>
  <si>
    <t>12/30/2013</t>
  </si>
  <si>
    <t>0.94.16</t>
  </si>
  <si>
    <t>1/19/2014</t>
  </si>
  <si>
    <t>0.94.17</t>
  </si>
  <si>
    <t>2/26/2014</t>
  </si>
  <si>
    <t>0.94.18</t>
  </si>
  <si>
    <t>3/24/2014</t>
  </si>
  <si>
    <t>0.94.19</t>
  </si>
  <si>
    <t>4/28/2014</t>
  </si>
  <si>
    <t>0.94.20</t>
  </si>
  <si>
    <t>5/29/2014</t>
  </si>
  <si>
    <t>0.94.21</t>
  </si>
  <si>
    <t>7/3/2014</t>
  </si>
  <si>
    <t>0.94.22</t>
  </si>
  <si>
    <t>8/9/2014</t>
  </si>
  <si>
    <t>0.94.23</t>
  </si>
  <si>
    <t>11/16/2014</t>
  </si>
  <si>
    <t>0.94.24</t>
  </si>
  <si>
    <t>0.94.25</t>
  </si>
  <si>
    <t>12/16/2014</t>
  </si>
  <si>
    <t>0.94.26</t>
  </si>
  <si>
    <t>12/28/2014</t>
  </si>
  <si>
    <t>0.94.27</t>
  </si>
  <si>
    <t>3/26/2015</t>
  </si>
  <si>
    <t>0.95.0</t>
  </si>
  <si>
    <t>4/7/2013</t>
  </si>
  <si>
    <t>0.95.1</t>
  </si>
  <si>
    <t>6/6/2013</t>
  </si>
  <si>
    <t>0.95.2</t>
  </si>
  <si>
    <t>8/15/2013</t>
  </si>
  <si>
    <t>0.96.0</t>
  </si>
  <si>
    <t>10/11/2013</t>
  </si>
  <si>
    <t>0.96.1</t>
  </si>
  <si>
    <t>12/16/2013</t>
  </si>
  <si>
    <t>0.96.2</t>
  </si>
  <si>
    <t>0.98.0</t>
  </si>
  <si>
    <t>2/7/2014</t>
  </si>
  <si>
    <t>0.98.1</t>
  </si>
  <si>
    <t>3/30/2014</t>
  </si>
  <si>
    <t>0.98.2</t>
  </si>
  <si>
    <t>5/1/2014</t>
  </si>
  <si>
    <t>0.98.3</t>
  </si>
  <si>
    <t>6/1/2014</t>
  </si>
  <si>
    <t>0.98.4</t>
  </si>
  <si>
    <t>8/12/2014</t>
  </si>
  <si>
    <t>0.98.5</t>
  </si>
  <si>
    <t>8/5/2014</t>
  </si>
  <si>
    <t>0.98.6</t>
  </si>
  <si>
    <t>9/4/2014</t>
  </si>
  <si>
    <t>0.98.7</t>
  </si>
  <si>
    <t>0.98.8</t>
  </si>
  <si>
    <t>11/18/2014</t>
  </si>
  <si>
    <t>0.98.9</t>
  </si>
  <si>
    <t>12/23/2014</t>
  </si>
  <si>
    <t>0.98.10</t>
  </si>
  <si>
    <t>2/5/2015</t>
  </si>
  <si>
    <t>0.98.11</t>
  </si>
  <si>
    <t>3/10/2015</t>
  </si>
  <si>
    <t>0.98.12</t>
  </si>
  <si>
    <t>4/18/2015</t>
  </si>
  <si>
    <t>0.98.13</t>
  </si>
  <si>
    <t>8/19/2015</t>
  </si>
  <si>
    <t>0.98.14</t>
  </si>
  <si>
    <t>8/31/2015</t>
  </si>
  <si>
    <t>0.98.15</t>
  </si>
  <si>
    <t>10/14/2015</t>
  </si>
  <si>
    <t>0.98.16</t>
  </si>
  <si>
    <t>11/17/2015</t>
  </si>
  <si>
    <t>0.98.17</t>
  </si>
  <si>
    <t>1/25/2016</t>
  </si>
  <si>
    <t>0.98.18</t>
  </si>
  <si>
    <t>3/26/2016</t>
  </si>
  <si>
    <t>0.98.19</t>
  </si>
  <si>
    <t>5/9/2016</t>
  </si>
  <si>
    <t>0.98.20</t>
  </si>
  <si>
    <t>6/14/2016</t>
  </si>
  <si>
    <t>0.98.21</t>
  </si>
  <si>
    <t>8/16/2016</t>
  </si>
  <si>
    <t>0.98.22</t>
  </si>
  <si>
    <t>9/13/2016</t>
  </si>
  <si>
    <t>0.98.23</t>
  </si>
  <si>
    <t>10/23/2016</t>
  </si>
  <si>
    <t>0.98.24</t>
  </si>
  <si>
    <t>1/5/2017</t>
  </si>
  <si>
    <t>0.99.0</t>
  </si>
  <si>
    <t>0.99.1</t>
  </si>
  <si>
    <t>0.99.2</t>
  </si>
  <si>
    <t>12/9/2014</t>
  </si>
  <si>
    <t>1.0.0</t>
  </si>
  <si>
    <t>2/21/2015</t>
  </si>
  <si>
    <t>1.0.1</t>
  </si>
  <si>
    <t>4/28/2015</t>
  </si>
  <si>
    <t>1.0.2</t>
  </si>
  <si>
    <t>1.0.3</t>
  </si>
  <si>
    <t>1.1.0</t>
  </si>
  <si>
    <t>5/14/2015</t>
  </si>
  <si>
    <t>1.1.0.1</t>
  </si>
  <si>
    <t>1.1.1</t>
  </si>
  <si>
    <t>1.1.10</t>
  </si>
  <si>
    <t>4/27/2017</t>
  </si>
  <si>
    <t>1.1.11</t>
  </si>
  <si>
    <t>6/26/2017</t>
  </si>
  <si>
    <t>1.1.12</t>
  </si>
  <si>
    <t>10/4/2017</t>
  </si>
  <si>
    <t>1.1.13</t>
  </si>
  <si>
    <t>12/13/2017</t>
  </si>
  <si>
    <t>1.1.2</t>
  </si>
  <si>
    <t>1.1.3</t>
  </si>
  <si>
    <t>1/26/2016</t>
  </si>
  <si>
    <t>1.1.4</t>
  </si>
  <si>
    <t>1.1.5</t>
  </si>
  <si>
    <t>5/14/2016</t>
  </si>
  <si>
    <t>1.1.6</t>
  </si>
  <si>
    <t>9/6/2016</t>
  </si>
  <si>
    <t>1.1.7</t>
  </si>
  <si>
    <t>1.1.8</t>
  </si>
  <si>
    <t>12/18/2016</t>
  </si>
  <si>
    <t>1.1.9</t>
  </si>
  <si>
    <t>2/28/2017</t>
  </si>
  <si>
    <t>1.2.0</t>
  </si>
  <si>
    <t>2/22/2016</t>
  </si>
  <si>
    <t>1.2.1</t>
  </si>
  <si>
    <t>1.2.2</t>
  </si>
  <si>
    <t>7/12/2016</t>
  </si>
  <si>
    <t>1.2.3</t>
  </si>
  <si>
    <t>9/12/2016</t>
  </si>
  <si>
    <t>1.2.4</t>
  </si>
  <si>
    <t>11/7/2016</t>
  </si>
  <si>
    <t>1.2.5</t>
  </si>
  <si>
    <t>3/24/2017</t>
  </si>
  <si>
    <t>1.2.6</t>
  </si>
  <si>
    <t>5/4/2018</t>
  </si>
  <si>
    <t>1.2.7</t>
  </si>
  <si>
    <t>9/16/2018</t>
  </si>
  <si>
    <t>1.2.8</t>
  </si>
  <si>
    <t>10/20/2018</t>
  </si>
  <si>
    <t>1.2.9</t>
  </si>
  <si>
    <t>11/27/2018</t>
  </si>
  <si>
    <t>1.3.0</t>
  </si>
  <si>
    <t>1/17/2017</t>
  </si>
  <si>
    <t>1.3.1</t>
  </si>
  <si>
    <t>1.3.2</t>
  </si>
  <si>
    <t>1.4.0</t>
  </si>
  <si>
    <t>12/18/2017</t>
  </si>
  <si>
    <t>1.4.1</t>
  </si>
  <si>
    <t>2/2/2018</t>
  </si>
  <si>
    <t>1.4.2</t>
  </si>
  <si>
    <t>3/1/2018</t>
  </si>
  <si>
    <t>1.4.3</t>
  </si>
  <si>
    <t>4/2/2018</t>
  </si>
  <si>
    <t>1.4.4</t>
  </si>
  <si>
    <t>1.4.5</t>
  </si>
  <si>
    <t>6/20/2018</t>
  </si>
  <si>
    <t>1.4.6</t>
  </si>
  <si>
    <t>7/31/2018</t>
  </si>
  <si>
    <t>1.4.7</t>
  </si>
  <si>
    <t>9/4/2018</t>
  </si>
  <si>
    <t>1.4.8</t>
  </si>
  <si>
    <t>10/8/2018</t>
  </si>
  <si>
    <t>1.4.9</t>
  </si>
  <si>
    <t>12/14/2018</t>
  </si>
  <si>
    <t>2.0.0</t>
  </si>
  <si>
    <t>2.0.1</t>
  </si>
  <si>
    <t>2.0.2</t>
  </si>
  <si>
    <t>9/1/2018</t>
  </si>
  <si>
    <t>2.0.3</t>
  </si>
  <si>
    <t>12/3/2018</t>
  </si>
  <si>
    <t>2.1.0</t>
  </si>
  <si>
    <t>7/18/2018</t>
  </si>
  <si>
    <t>2.1.1</t>
  </si>
  <si>
    <t>10/31/2018</t>
  </si>
  <si>
    <t>0.3.0</t>
  </si>
  <si>
    <t>7/20/2009</t>
  </si>
  <si>
    <t>0.4.0</t>
  </si>
  <si>
    <t>9/26/2009</t>
  </si>
  <si>
    <t>0.4.1</t>
  </si>
  <si>
    <t>10/16/2009</t>
  </si>
  <si>
    <t>0.4.2</t>
  </si>
  <si>
    <t>11/9/2009</t>
  </si>
  <si>
    <t>0.5.0</t>
  </si>
  <si>
    <t>1/23/2010</t>
  </si>
  <si>
    <t>0.5.1</t>
  </si>
  <si>
    <t>2/26/2010</t>
  </si>
  <si>
    <t>0.6.0</t>
  </si>
  <si>
    <t>4/18/2010</t>
  </si>
  <si>
    <t>0.6.1</t>
  </si>
  <si>
    <t>4/19/2010</t>
  </si>
  <si>
    <t>0.6.2</t>
  </si>
  <si>
    <t>5/28/2010</t>
  </si>
  <si>
    <t>0.6.3</t>
  </si>
  <si>
    <t>6/29/2010</t>
  </si>
  <si>
    <t>0.6.4</t>
  </si>
  <si>
    <t>7/31/2010</t>
  </si>
  <si>
    <t>0.6.5</t>
  </si>
  <si>
    <t>8/27/2010</t>
  </si>
  <si>
    <t>0.6.6</t>
  </si>
  <si>
    <t>10/14/2010</t>
  </si>
  <si>
    <t>0.6.7</t>
  </si>
  <si>
    <t>11/10/2010</t>
  </si>
  <si>
    <t>0.6.8</t>
  </si>
  <si>
    <t>11/12/2010</t>
  </si>
  <si>
    <t>0.6.9</t>
  </si>
  <si>
    <t>1/10/2011</t>
  </si>
  <si>
    <t>0.6.10</t>
  </si>
  <si>
    <t>1/24/2011</t>
  </si>
  <si>
    <t>0.6.11</t>
  </si>
  <si>
    <t>1/28/2011</t>
  </si>
  <si>
    <t>0.6.12</t>
  </si>
  <si>
    <t>2/21/2011</t>
  </si>
  <si>
    <t>0.6.13</t>
  </si>
  <si>
    <t>4/18/2011</t>
  </si>
  <si>
    <t>0.7.0</t>
  </si>
  <si>
    <t>0.7.1</t>
  </si>
  <si>
    <t>2/14/2011</t>
  </si>
  <si>
    <t>0.7.2</t>
  </si>
  <si>
    <t>2/16/2011</t>
  </si>
  <si>
    <t>0.7.3</t>
  </si>
  <si>
    <t>3/4/2011</t>
  </si>
  <si>
    <t>0.7.4</t>
  </si>
  <si>
    <t>3/15/2011</t>
  </si>
  <si>
    <t>0.7.5</t>
  </si>
  <si>
    <t>4/27/2011</t>
  </si>
  <si>
    <t>0.7.6</t>
  </si>
  <si>
    <t>5/20/2011</t>
  </si>
  <si>
    <t>0.7.7</t>
  </si>
  <si>
    <t>7/16/2011</t>
  </si>
  <si>
    <t>0.7.8</t>
  </si>
  <si>
    <t>7/22/2011</t>
  </si>
  <si>
    <t>0.7.9</t>
  </si>
  <si>
    <t>9/5/2011</t>
  </si>
  <si>
    <t>0.7.10</t>
  </si>
  <si>
    <t>8/6/2013</t>
  </si>
  <si>
    <t>0.8.0</t>
  </si>
  <si>
    <t>6/2/2011</t>
  </si>
  <si>
    <t>0.8.1</t>
  </si>
  <si>
    <t>6/28/2011</t>
  </si>
  <si>
    <t>0.8.2</t>
  </si>
  <si>
    <t>7/26/2011</t>
  </si>
  <si>
    <t>0.8.3</t>
  </si>
  <si>
    <t>8/8/2011</t>
  </si>
  <si>
    <t>0.8.4</t>
  </si>
  <si>
    <t>8/11/2011</t>
  </si>
  <si>
    <t>0.8.5</t>
  </si>
  <si>
    <t>9/8/2011</t>
  </si>
  <si>
    <t>0.8.6</t>
  </si>
  <si>
    <t>9/20/2011</t>
  </si>
  <si>
    <t>0.8.7</t>
  </si>
  <si>
    <t>10/10/2011</t>
  </si>
  <si>
    <t>0.8.8</t>
  </si>
  <si>
    <t>12/2/2011</t>
  </si>
  <si>
    <t>0.8.9</t>
  </si>
  <si>
    <t>12/14/2011</t>
  </si>
  <si>
    <t>0.8.10</t>
  </si>
  <si>
    <t>10/18/2011</t>
  </si>
  <si>
    <t>10/31/2011</t>
  </si>
  <si>
    <t>11/7/2011</t>
  </si>
  <si>
    <t>11/29/2011</t>
  </si>
  <si>
    <t>1.0.4</t>
  </si>
  <si>
    <t>1.0.5</t>
  </si>
  <si>
    <t>11/30/2011</t>
  </si>
  <si>
    <t>1.0.6</t>
  </si>
  <si>
    <t>1.0.7</t>
  </si>
  <si>
    <t>1/16/2012</t>
  </si>
  <si>
    <t>1.0.8</t>
  </si>
  <si>
    <t>2/27/2012</t>
  </si>
  <si>
    <t>1.0.9</t>
  </si>
  <si>
    <t>4/6/2012</t>
  </si>
  <si>
    <t>1.0.10</t>
  </si>
  <si>
    <t>5/8/2012</t>
  </si>
  <si>
    <t>1.0.11</t>
  </si>
  <si>
    <t>7/31/2012</t>
  </si>
  <si>
    <t>1.0.12</t>
  </si>
  <si>
    <t>4/24/2012</t>
  </si>
  <si>
    <t>6/4/2012</t>
  </si>
  <si>
    <t>7/2/2012</t>
  </si>
  <si>
    <t>8/5/2012</t>
  </si>
  <si>
    <t>8/20/2012</t>
  </si>
  <si>
    <t>9/10/2012</t>
  </si>
  <si>
    <t>10/15/2012</t>
  </si>
  <si>
    <t>11/30/2012</t>
  </si>
  <si>
    <t>12/20/2012</t>
  </si>
  <si>
    <t>1/18/2013</t>
  </si>
  <si>
    <t>4/19/2013</t>
  </si>
  <si>
    <t>1/28/2013</t>
  </si>
  <si>
    <t>2/25/2013</t>
  </si>
  <si>
    <t>3/18/2013</t>
  </si>
  <si>
    <t>4/11/2013</t>
  </si>
  <si>
    <t>5/19/2013</t>
  </si>
  <si>
    <t>7/26/2013</t>
  </si>
  <si>
    <t>7/29/2013</t>
  </si>
  <si>
    <t>9/3/2013</t>
  </si>
  <si>
    <t>1.2.10</t>
  </si>
  <si>
    <t>9/23/2013</t>
  </si>
  <si>
    <t>1.2.11</t>
  </si>
  <si>
    <t>10/22/2013</t>
  </si>
  <si>
    <t>1.2.12</t>
  </si>
  <si>
    <t>11/25/2013</t>
  </si>
  <si>
    <t>1.2.13</t>
  </si>
  <si>
    <t>12/20/2013</t>
  </si>
  <si>
    <t>1.2.14</t>
  </si>
  <si>
    <t>2/3/2014</t>
  </si>
  <si>
    <t>1.2.15</t>
  </si>
  <si>
    <t>1.2.16</t>
  </si>
  <si>
    <t>3/31/2014</t>
  </si>
  <si>
    <t>1.2.17</t>
  </si>
  <si>
    <t>6/30/2014</t>
  </si>
  <si>
    <t>1.2.18</t>
  </si>
  <si>
    <t>1.2.19</t>
  </si>
  <si>
    <t>10/28/2013</t>
  </si>
  <si>
    <t>2.0.4</t>
  </si>
  <si>
    <t>2.0.5</t>
  </si>
  <si>
    <t>2.0.6</t>
  </si>
  <si>
    <t>3/10/2014</t>
  </si>
  <si>
    <t>2.0.7</t>
  </si>
  <si>
    <t>4/18/2014</t>
  </si>
  <si>
    <t>2.0.8</t>
  </si>
  <si>
    <t>2.0.9</t>
  </si>
  <si>
    <t>2.0.10</t>
  </si>
  <si>
    <t>8/25/2014</t>
  </si>
  <si>
    <t>2.0.11</t>
  </si>
  <si>
    <t>2.0.12</t>
  </si>
  <si>
    <t>1/20/2015</t>
  </si>
  <si>
    <t>2.0.13</t>
  </si>
  <si>
    <t>3/16/2015</t>
  </si>
  <si>
    <t>2.0.14</t>
  </si>
  <si>
    <t>4/1/2015</t>
  </si>
  <si>
    <t>2.0.15</t>
  </si>
  <si>
    <t>5/18/2015</t>
  </si>
  <si>
    <t>2.0.16</t>
  </si>
  <si>
    <t>2.0.17</t>
  </si>
  <si>
    <t>9/11/2014</t>
  </si>
  <si>
    <t>2.1.2</t>
  </si>
  <si>
    <t>2.1.3</t>
  </si>
  <si>
    <t>2/17/2015</t>
  </si>
  <si>
    <t>2.1.4</t>
  </si>
  <si>
    <t>2.1.5</t>
  </si>
  <si>
    <t>4/29/2015</t>
  </si>
  <si>
    <t>2.1.6</t>
  </si>
  <si>
    <t>6/8/2015</t>
  </si>
  <si>
    <t>2.1.7</t>
  </si>
  <si>
    <t>6/22/2015</t>
  </si>
  <si>
    <t>2.1.8</t>
  </si>
  <si>
    <t>2.1.9</t>
  </si>
  <si>
    <t>8/28/2015</t>
  </si>
  <si>
    <t>2.1.12</t>
  </si>
  <si>
    <t>12/7/2015</t>
  </si>
  <si>
    <t>2.1.13</t>
  </si>
  <si>
    <t>2/8/2016</t>
  </si>
  <si>
    <t>2.1.14</t>
  </si>
  <si>
    <t>4/26/2016</t>
  </si>
  <si>
    <t>2.1.15</t>
  </si>
  <si>
    <t>7/5/2016</t>
  </si>
  <si>
    <t>2.1.16</t>
  </si>
  <si>
    <t>10/10/2016</t>
  </si>
  <si>
    <t>2.1.17</t>
  </si>
  <si>
    <t>2.1.18</t>
  </si>
  <si>
    <t>2.1.19</t>
  </si>
  <si>
    <t>2.1.20</t>
  </si>
  <si>
    <t>2.2.0</t>
  </si>
  <si>
    <t>2.2.1</t>
  </si>
  <si>
    <t>9/1/2015</t>
  </si>
  <si>
    <t>2.2.4</t>
  </si>
  <si>
    <t>2.2.5</t>
  </si>
  <si>
    <t>2.2.6</t>
  </si>
  <si>
    <t>2.2.7</t>
  </si>
  <si>
    <t>2.2.8</t>
  </si>
  <si>
    <t>9/28/2016</t>
  </si>
  <si>
    <t>2.2.9</t>
  </si>
  <si>
    <t>2.2.10</t>
  </si>
  <si>
    <t>2.2.11</t>
  </si>
  <si>
    <t>2.2.12</t>
  </si>
  <si>
    <t>2.2.13</t>
  </si>
  <si>
    <t>8/1/2018</t>
  </si>
  <si>
    <t>11/9/2015</t>
  </si>
  <si>
    <t>12/8/2015</t>
  </si>
  <si>
    <t>12/21/2015</t>
  </si>
  <si>
    <t>2/9/2016</t>
  </si>
  <si>
    <t>3/8/2016</t>
  </si>
  <si>
    <t>4/11/2016</t>
  </si>
  <si>
    <t>5/13/2016</t>
  </si>
  <si>
    <t>6/13/2016</t>
  </si>
  <si>
    <t>9/19/2016</t>
  </si>
  <si>
    <t>3.0.10</t>
  </si>
  <si>
    <t>11/16/2016</t>
  </si>
  <si>
    <t>3.0.11</t>
  </si>
  <si>
    <t>2/21/2017</t>
  </si>
  <si>
    <t>3.0.12</t>
  </si>
  <si>
    <t>3/10/2017</t>
  </si>
  <si>
    <t>3.0.13</t>
  </si>
  <si>
    <t>4/14/2017</t>
  </si>
  <si>
    <t>3.0.14</t>
  </si>
  <si>
    <t>3.0.15</t>
  </si>
  <si>
    <t>3.0.16</t>
  </si>
  <si>
    <t>3.0.17</t>
  </si>
  <si>
    <t>1/11/2016</t>
  </si>
  <si>
    <t>1/19/2016</t>
  </si>
  <si>
    <t>4/13/2016</t>
  </si>
  <si>
    <t>6/6/2016</t>
  </si>
  <si>
    <t>9/29/2016</t>
  </si>
  <si>
    <t>3.10</t>
  </si>
  <si>
    <t>2/3/2017</t>
  </si>
  <si>
    <t>3.11.0</t>
  </si>
  <si>
    <t>3.11.1</t>
  </si>
  <si>
    <t>3.11.2</t>
  </si>
  <si>
    <t>3.11.3</t>
  </si>
  <si>
    <t>4.1.8</t>
  </si>
  <si>
    <t>4.1.9</t>
  </si>
  <si>
    <t>4.1.10</t>
  </si>
  <si>
    <t>4.1.11</t>
  </si>
  <si>
    <t>4.1.12</t>
  </si>
  <si>
    <t>4.1.13</t>
  </si>
  <si>
    <t>4.1.14</t>
  </si>
  <si>
    <t>4.1.15</t>
  </si>
  <si>
    <t>4.1.17</t>
  </si>
  <si>
    <t>4.1.18</t>
  </si>
  <si>
    <t>4.1.19</t>
  </si>
  <si>
    <t>4.1.20</t>
  </si>
  <si>
    <t>4.1.21</t>
  </si>
  <si>
    <t>4.1.22</t>
  </si>
  <si>
    <t>4.1.23</t>
  </si>
  <si>
    <t>4.1.24</t>
  </si>
  <si>
    <t>4.1.25</t>
  </si>
  <si>
    <t>4.1.27</t>
  </si>
  <si>
    <t>4.1.28</t>
  </si>
  <si>
    <t>4.1.29</t>
  </si>
  <si>
    <t>4.1.30</t>
  </si>
  <si>
    <t>4.1.31</t>
  </si>
  <si>
    <t>4.1.32</t>
  </si>
  <si>
    <t>4.0.47</t>
  </si>
  <si>
    <t>4.0.48</t>
  </si>
  <si>
    <t>4.0.49</t>
  </si>
  <si>
    <t>4.0.50</t>
  </si>
  <si>
    <t>4.0.51</t>
  </si>
  <si>
    <t>4.0.52</t>
  </si>
  <si>
    <t>4.0.53</t>
  </si>
  <si>
    <t>4.0.54</t>
  </si>
  <si>
    <t>4.0.55</t>
  </si>
  <si>
    <t>4.0.56</t>
  </si>
  <si>
    <t>4.1.16</t>
  </si>
  <si>
    <t>4.1.26</t>
  </si>
  <si>
    <t>3.2.7</t>
  </si>
  <si>
    <t>4.0.16</t>
  </si>
  <si>
    <t>4.0.26</t>
  </si>
  <si>
    <t>Subject</t>
  </si>
  <si>
    <t>Thrift</t>
  </si>
  <si>
    <t>xSocket</t>
  </si>
  <si>
    <t>Voldemort</t>
  </si>
  <si>
    <t>ZooKeeper</t>
  </si>
  <si>
    <t>Netty</t>
  </si>
  <si>
    <t>Derby</t>
  </si>
  <si>
    <t>Karaf</t>
  </si>
  <si>
    <t>Cassandra</t>
  </si>
  <si>
    <t>v1.0</t>
  </si>
  <si>
    <t>v1.0.1</t>
  </si>
  <si>
    <t>v1.0.2</t>
  </si>
  <si>
    <t>v1.0.3</t>
  </si>
  <si>
    <t>v1.0.4</t>
  </si>
  <si>
    <t>v1.0.5</t>
  </si>
  <si>
    <t>OpenChord</t>
  </si>
  <si>
    <t>Ratio</t>
  </si>
  <si>
    <t>#SOC</t>
  </si>
  <si>
    <t>XNIO</t>
  </si>
  <si>
    <t>V0.12.0</t>
  </si>
  <si>
    <t>#SLOC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</si>
</sst>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name val="Calibri"/>
      <family val="2"/>
    </font>
    <font>
      <sz val="10"/>
      <color rgb="FF000000"/>
      <name val="Arial Unicode MS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14" fontId="0" fillId="0" borderId="0" xfId="0" applyNumberFormat="1" applyFont="1"/>
    <xf numFmtId="0" fontId="1" fillId="0" borderId="0" xfId="0" applyFont="1" applyAlignment="1"/>
    <xf numFmtId="14" fontId="1" fillId="0" borderId="0" xfId="0" applyNumberFormat="1" applyFont="1"/>
    <xf numFmtId="14" fontId="0" fillId="0" borderId="0" xfId="0" applyNumberFormat="1" applyFont="1" applyAlignment="1"/>
    <xf numFmtId="0" fontId="0" fillId="0" borderId="1" xfId="0" applyFont="1" applyBorder="1" applyAlignment="1"/>
    <xf numFmtId="14" fontId="0" fillId="0" borderId="1" xfId="0" applyNumberFormat="1" applyFont="1" applyBorder="1"/>
    <xf numFmtId="0" fontId="0" fillId="0" borderId="0" xfId="0"/>
    <xf numFmtId="14" fontId="0" fillId="0" borderId="0" xfId="0" applyNumberFormat="1"/>
    <xf numFmtId="49" fontId="0" fillId="0" borderId="0" xfId="0" applyNumberFormat="1"/>
    <xf numFmtId="14" fontId="2" fillId="0" borderId="0" xfId="0" applyNumberFormat="1" applyFont="1" applyAlignment="1">
      <alignment vertical="center"/>
    </xf>
    <xf numFmtId="0" fontId="3" fillId="0" borderId="1" xfId="0" applyFont="1" applyBorder="1" applyAlignme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/>
    <xf numFmtId="0" fontId="0" fillId="0" borderId="1" xfId="0" applyFont="1" applyFill="1" applyBorder="1" applyAlignment="1"/>
    <xf numFmtId="0" fontId="4" fillId="0" borderId="1" xfId="0" applyFont="1" applyBorder="1" applyAlignment="1">
      <alignment horizontal="left" vertical="center"/>
    </xf>
    <xf numFmtId="0" fontId="0" fillId="0" borderId="0" xfId="0" applyFont="1" applyAlignment="1">
      <alignment horizontal="right"/>
    </xf>
    <xf numFmtId="2" fontId="0" fillId="0" borderId="1" xfId="0" applyNumberFormat="1" applyBorder="1" applyAlignment="1">
      <alignment vertical="center"/>
    </xf>
    <xf numFmtId="0" fontId="4" fillId="0" borderId="0" xfId="0" applyFont="1" applyAlignme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4871F-0435-41B4-8624-2839893B5F9C}">
  <dimension ref="A1:E15"/>
  <sheetViews>
    <sheetView workbookViewId="0">
      <selection activeCell="H16" sqref="H16"/>
    </sheetView>
  </sheetViews>
  <sheetFormatPr defaultRowHeight="15" x14ac:dyDescent="0.25"/>
  <cols>
    <col min="1" max="1" width="12.140625" customWidth="1"/>
    <col min="3" max="3" width="12.140625" customWidth="1"/>
  </cols>
  <sheetData>
    <row r="1" spans="1:5" x14ac:dyDescent="0.25">
      <c r="A1" s="5"/>
      <c r="B1" s="5"/>
      <c r="C1" s="11" t="s">
        <v>866</v>
      </c>
      <c r="D1" s="11" t="s">
        <v>0</v>
      </c>
      <c r="E1" s="11" t="s">
        <v>865</v>
      </c>
    </row>
    <row r="2" spans="1:5" x14ac:dyDescent="0.25">
      <c r="A2" s="5"/>
      <c r="B2" s="5" t="s">
        <v>1</v>
      </c>
      <c r="C2" s="5"/>
      <c r="D2" s="5">
        <f>AVERAGE(D6:D14)</f>
        <v>128.53666086421879</v>
      </c>
      <c r="E2" s="5">
        <f>AVERAGE(E6:E14)</f>
        <v>6.4607022201728119E-3</v>
      </c>
    </row>
    <row r="3" spans="1:5" x14ac:dyDescent="0.25">
      <c r="A3" s="5"/>
      <c r="B3" s="5" t="s">
        <v>2</v>
      </c>
      <c r="C3" s="5"/>
      <c r="D3" s="5">
        <f>MEDIAN(D6:D14)</f>
        <v>117</v>
      </c>
      <c r="E3" s="5">
        <f>MEDIAN(E6:E14)</f>
        <v>1.2857164933318911E-3</v>
      </c>
    </row>
    <row r="4" spans="1:5" x14ac:dyDescent="0.25">
      <c r="A4" s="5"/>
      <c r="B4" s="5" t="s">
        <v>3</v>
      </c>
      <c r="C4" s="5"/>
      <c r="D4" s="5">
        <f>STDEV(D6:D14)</f>
        <v>97.437905017502388</v>
      </c>
      <c r="E4" s="5">
        <f>STDEV(E6:E14)</f>
        <v>1.0494334240102463E-2</v>
      </c>
    </row>
    <row r="5" spans="1:5" x14ac:dyDescent="0.25">
      <c r="A5" s="12" t="s">
        <v>849</v>
      </c>
      <c r="B5" s="5"/>
      <c r="C5" s="5"/>
      <c r="D5" s="5"/>
      <c r="E5" s="5"/>
    </row>
    <row r="6" spans="1:5" x14ac:dyDescent="0.25">
      <c r="A6" s="15" t="s">
        <v>864</v>
      </c>
      <c r="B6" s="5"/>
      <c r="C6" s="5">
        <v>8299.1666666666661</v>
      </c>
      <c r="D6" s="5">
        <f>OpenChord!C2</f>
        <v>201.6</v>
      </c>
      <c r="E6" s="5">
        <f>D6/C6</f>
        <v>2.4291595541721056E-2</v>
      </c>
    </row>
    <row r="7" spans="1:5" x14ac:dyDescent="0.25">
      <c r="A7" s="13" t="s">
        <v>850</v>
      </c>
      <c r="B7" s="5"/>
      <c r="C7" s="5">
        <v>10773.428571428571</v>
      </c>
      <c r="D7" s="5">
        <f>Thrift!C2</f>
        <v>274</v>
      </c>
      <c r="E7" s="5">
        <f t="shared" ref="E7:E15" si="0">D7/C7</f>
        <v>2.5432943485294509E-2</v>
      </c>
    </row>
    <row r="8" spans="1:5" x14ac:dyDescent="0.25">
      <c r="A8" s="13" t="s">
        <v>851</v>
      </c>
      <c r="B8" s="5"/>
      <c r="C8" s="5">
        <v>12796.633333333333</v>
      </c>
      <c r="D8" s="5">
        <f>xSocket!C2</f>
        <v>28.482758620689655</v>
      </c>
      <c r="E8" s="5">
        <f t="shared" si="0"/>
        <v>2.2258009492618883E-3</v>
      </c>
    </row>
    <row r="9" spans="1:5" x14ac:dyDescent="0.25">
      <c r="A9" s="13" t="s">
        <v>852</v>
      </c>
      <c r="B9" s="5"/>
      <c r="C9" s="17">
        <v>103184.65432098765</v>
      </c>
      <c r="D9" s="5">
        <f>Voldemort!C2</f>
        <v>19.137499999999999</v>
      </c>
      <c r="E9" s="5">
        <f t="shared" si="0"/>
        <v>1.8546847034508552E-4</v>
      </c>
    </row>
    <row r="10" spans="1:5" x14ac:dyDescent="0.25">
      <c r="A10" s="13" t="s">
        <v>853</v>
      </c>
      <c r="B10" s="5"/>
      <c r="C10" s="17">
        <v>49683.382352941175</v>
      </c>
      <c r="D10" s="5">
        <f>Zookeeper!C2</f>
        <v>177.03333333333333</v>
      </c>
      <c r="E10" s="5">
        <f t="shared" si="0"/>
        <v>3.5632302985276372E-3</v>
      </c>
    </row>
    <row r="11" spans="1:5" x14ac:dyDescent="0.25">
      <c r="A11" s="14" t="s">
        <v>854</v>
      </c>
      <c r="B11" s="5"/>
      <c r="C11" s="5">
        <v>92949.962025316461</v>
      </c>
      <c r="D11" s="5">
        <f>Netty!C2</f>
        <v>40.715596330275233</v>
      </c>
      <c r="E11" s="5">
        <f t="shared" si="0"/>
        <v>4.3803779413256419E-4</v>
      </c>
    </row>
    <row r="12" spans="1:5" x14ac:dyDescent="0.25">
      <c r="A12" s="14" t="s">
        <v>855</v>
      </c>
      <c r="B12" s="5"/>
      <c r="C12" s="5">
        <v>574003.21739130432</v>
      </c>
      <c r="D12" s="5">
        <f>Derby!C2</f>
        <v>240</v>
      </c>
      <c r="E12" s="5">
        <f t="shared" si="0"/>
        <v>4.1811612326972262E-4</v>
      </c>
    </row>
    <row r="13" spans="1:5" x14ac:dyDescent="0.25">
      <c r="A13" s="14" t="s">
        <v>856</v>
      </c>
      <c r="B13" s="5"/>
      <c r="C13" s="5">
        <v>90999.84375</v>
      </c>
      <c r="D13" s="5">
        <f>Karaf!C2</f>
        <v>117</v>
      </c>
      <c r="E13" s="5">
        <f t="shared" si="0"/>
        <v>1.2857164933318911E-3</v>
      </c>
    </row>
    <row r="14" spans="1:5" x14ac:dyDescent="0.25">
      <c r="A14" s="5" t="s">
        <v>857</v>
      </c>
      <c r="B14" s="5"/>
      <c r="C14" s="5">
        <v>192726.5</v>
      </c>
      <c r="D14" s="5">
        <f>Cassandra!C2</f>
        <v>58.860759493670884</v>
      </c>
      <c r="E14" s="5">
        <f t="shared" si="0"/>
        <v>3.0541082567094242E-4</v>
      </c>
    </row>
    <row r="15" spans="1:5" x14ac:dyDescent="0.25">
      <c r="A15" s="14" t="s">
        <v>867</v>
      </c>
      <c r="B15" s="5"/>
      <c r="C15" s="14">
        <v>4989</v>
      </c>
      <c r="D15" s="5">
        <v>161.80000000000001</v>
      </c>
      <c r="E15" s="5">
        <f t="shared" si="0"/>
        <v>3.2431348967729007E-2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3713A-E058-44A1-93F9-CAB67FADC7A8}">
  <dimension ref="A1:C11"/>
  <sheetViews>
    <sheetView workbookViewId="0">
      <selection sqref="A1:C11"/>
    </sheetView>
  </sheetViews>
  <sheetFormatPr defaultRowHeight="15" x14ac:dyDescent="0.25"/>
  <cols>
    <col min="2" max="2" width="11.85546875" customWidth="1"/>
  </cols>
  <sheetData>
    <row r="1" spans="1:3" x14ac:dyDescent="0.25">
      <c r="B1" s="1"/>
      <c r="C1" t="s">
        <v>0</v>
      </c>
    </row>
    <row r="2" spans="1:3" x14ac:dyDescent="0.25">
      <c r="B2" s="1" t="s">
        <v>1</v>
      </c>
      <c r="C2">
        <f>AVERAGE(C6:C10)</f>
        <v>201.6</v>
      </c>
    </row>
    <row r="3" spans="1:3" x14ac:dyDescent="0.25">
      <c r="B3" s="1" t="s">
        <v>2</v>
      </c>
      <c r="C3">
        <f>MEDIAN(C6:C10)</f>
        <v>187</v>
      </c>
    </row>
    <row r="4" spans="1:3" x14ac:dyDescent="0.25">
      <c r="B4" s="1" t="s">
        <v>3</v>
      </c>
      <c r="C4">
        <f>STDEV(C6:C10)</f>
        <v>156.44743526181566</v>
      </c>
    </row>
    <row r="5" spans="1:3" x14ac:dyDescent="0.25">
      <c r="A5" t="s">
        <v>4</v>
      </c>
      <c r="B5" s="1" t="s">
        <v>5</v>
      </c>
    </row>
    <row r="6" spans="1:3" x14ac:dyDescent="0.25">
      <c r="A6" t="s">
        <v>858</v>
      </c>
      <c r="B6" s="4">
        <v>38748</v>
      </c>
      <c r="C6">
        <f>DATEDIF(B6,B7,"d")</f>
        <v>339</v>
      </c>
    </row>
    <row r="7" spans="1:3" x14ac:dyDescent="0.25">
      <c r="A7" t="s">
        <v>859</v>
      </c>
      <c r="B7" s="4">
        <v>39087</v>
      </c>
      <c r="C7">
        <f t="shared" ref="C7:C10" si="0">DATEDIF(B7,B8,"d")</f>
        <v>7</v>
      </c>
    </row>
    <row r="8" spans="1:3" x14ac:dyDescent="0.25">
      <c r="A8" t="s">
        <v>860</v>
      </c>
      <c r="B8" s="4">
        <v>39094</v>
      </c>
      <c r="C8">
        <f t="shared" si="0"/>
        <v>187</v>
      </c>
    </row>
    <row r="9" spans="1:3" x14ac:dyDescent="0.25">
      <c r="A9" t="s">
        <v>861</v>
      </c>
      <c r="B9" s="4">
        <v>39281</v>
      </c>
      <c r="C9">
        <f t="shared" si="0"/>
        <v>99</v>
      </c>
    </row>
    <row r="10" spans="1:3" x14ac:dyDescent="0.25">
      <c r="A10" t="s">
        <v>862</v>
      </c>
      <c r="B10" s="4">
        <v>39380</v>
      </c>
      <c r="C10">
        <f t="shared" si="0"/>
        <v>376</v>
      </c>
    </row>
    <row r="11" spans="1:3" x14ac:dyDescent="0.25">
      <c r="A11" t="s">
        <v>863</v>
      </c>
      <c r="B11" s="4">
        <v>39756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99"/>
  <sheetViews>
    <sheetView tabSelected="1" workbookViewId="0">
      <selection activeCell="E19" sqref="E19:E20"/>
    </sheetView>
  </sheetViews>
  <sheetFormatPr defaultColWidth="14.42578125" defaultRowHeight="15" customHeight="1" x14ac:dyDescent="0.25"/>
  <cols>
    <col min="1" max="1" width="8.7109375" customWidth="1"/>
    <col min="2" max="2" width="11.42578125" customWidth="1"/>
    <col min="3" max="19" width="8.7109375" customWidth="1"/>
  </cols>
  <sheetData>
    <row r="1" spans="1:4" ht="14.25" customHeight="1" x14ac:dyDescent="0.25">
      <c r="B1" s="1"/>
      <c r="C1" t="s">
        <v>0</v>
      </c>
      <c r="D1" s="18" t="s">
        <v>869</v>
      </c>
    </row>
    <row r="2" spans="1:4" ht="14.25" customHeight="1" x14ac:dyDescent="0.25">
      <c r="B2" s="1" t="s">
        <v>1</v>
      </c>
      <c r="C2">
        <f>AVERAGE(C15:C19)</f>
        <v>274</v>
      </c>
    </row>
    <row r="3" spans="1:4" ht="14.25" customHeight="1" x14ac:dyDescent="0.25">
      <c r="B3" s="1" t="s">
        <v>2</v>
      </c>
      <c r="C3">
        <f>MEDIAN(C15:C19)</f>
        <v>301</v>
      </c>
    </row>
    <row r="4" spans="1:4" ht="14.25" customHeight="1" x14ac:dyDescent="0.25">
      <c r="B4" s="1" t="s">
        <v>3</v>
      </c>
      <c r="C4">
        <f>STDEV(C15:C19)</f>
        <v>134.64768843169941</v>
      </c>
    </row>
    <row r="5" spans="1:4" ht="14.25" customHeight="1" x14ac:dyDescent="0.25">
      <c r="A5" t="s">
        <v>4</v>
      </c>
      <c r="B5" s="1" t="s">
        <v>5</v>
      </c>
    </row>
    <row r="6" spans="1:4" ht="14.25" customHeight="1" x14ac:dyDescent="0.25">
      <c r="A6" t="s">
        <v>179</v>
      </c>
      <c r="B6" s="1">
        <v>41672</v>
      </c>
      <c r="C6">
        <f>DATEDIF(B6,B7,"d")</f>
        <v>0</v>
      </c>
    </row>
    <row r="7" spans="1:4" ht="14.25" customHeight="1" x14ac:dyDescent="0.25">
      <c r="A7" t="s">
        <v>180</v>
      </c>
      <c r="B7" s="1">
        <v>41672</v>
      </c>
      <c r="C7">
        <f t="shared" ref="C7:C20" si="0">DATEDIF(B7,B8,"d")</f>
        <v>0</v>
      </c>
    </row>
    <row r="8" spans="1:4" ht="14.25" customHeight="1" x14ac:dyDescent="0.25">
      <c r="A8" t="s">
        <v>181</v>
      </c>
      <c r="B8" s="1">
        <v>41672</v>
      </c>
      <c r="C8">
        <f t="shared" si="0"/>
        <v>0</v>
      </c>
    </row>
    <row r="9" spans="1:4" ht="14.25" customHeight="1" x14ac:dyDescent="0.25">
      <c r="A9" t="s">
        <v>182</v>
      </c>
      <c r="B9" s="1">
        <v>41672</v>
      </c>
      <c r="C9">
        <f t="shared" si="0"/>
        <v>0</v>
      </c>
    </row>
    <row r="10" spans="1:4" ht="14.25" customHeight="1" x14ac:dyDescent="0.25">
      <c r="A10" t="s">
        <v>183</v>
      </c>
      <c r="B10" s="1">
        <v>41672</v>
      </c>
      <c r="C10">
        <f t="shared" si="0"/>
        <v>0</v>
      </c>
    </row>
    <row r="11" spans="1:4" ht="14.25" customHeight="1" x14ac:dyDescent="0.25">
      <c r="A11" t="s">
        <v>184</v>
      </c>
      <c r="B11" s="1">
        <v>41672</v>
      </c>
      <c r="C11">
        <f t="shared" si="0"/>
        <v>0</v>
      </c>
    </row>
    <row r="12" spans="1:4" ht="14.25" customHeight="1" x14ac:dyDescent="0.25">
      <c r="A12" t="s">
        <v>185</v>
      </c>
      <c r="B12" s="1">
        <v>41672</v>
      </c>
      <c r="C12">
        <f t="shared" si="0"/>
        <v>0</v>
      </c>
    </row>
    <row r="13" spans="1:4" ht="14.25" customHeight="1" x14ac:dyDescent="0.25">
      <c r="A13" t="s">
        <v>186</v>
      </c>
      <c r="B13" s="1">
        <v>41672</v>
      </c>
      <c r="C13">
        <f t="shared" si="0"/>
        <v>0</v>
      </c>
    </row>
    <row r="14" spans="1:4" ht="14.25" customHeight="1" x14ac:dyDescent="0.25">
      <c r="A14" t="s">
        <v>187</v>
      </c>
      <c r="B14" s="1">
        <v>41672</v>
      </c>
      <c r="C14">
        <f t="shared" si="0"/>
        <v>0</v>
      </c>
    </row>
    <row r="15" spans="1:4" ht="14.25" customHeight="1" x14ac:dyDescent="0.25">
      <c r="A15" t="s">
        <v>188</v>
      </c>
      <c r="B15" s="1">
        <v>41672</v>
      </c>
      <c r="C15">
        <f t="shared" si="0"/>
        <v>180</v>
      </c>
    </row>
    <row r="16" spans="1:4" ht="14.25" customHeight="1" x14ac:dyDescent="0.25">
      <c r="A16" t="s">
        <v>189</v>
      </c>
      <c r="B16" s="1">
        <v>41852</v>
      </c>
      <c r="C16">
        <f t="shared" si="0"/>
        <v>107</v>
      </c>
    </row>
    <row r="17" spans="1:5" ht="14.25" customHeight="1" x14ac:dyDescent="0.25">
      <c r="A17" t="s">
        <v>190</v>
      </c>
      <c r="B17" s="1">
        <v>41959</v>
      </c>
      <c r="C17">
        <f t="shared" si="0"/>
        <v>329</v>
      </c>
    </row>
    <row r="18" spans="1:5" ht="14.25" customHeight="1" x14ac:dyDescent="0.25">
      <c r="A18" t="s">
        <v>191</v>
      </c>
      <c r="B18" s="1">
        <v>42288</v>
      </c>
      <c r="C18">
        <f t="shared" si="0"/>
        <v>453</v>
      </c>
    </row>
    <row r="19" spans="1:5" ht="14.25" customHeight="1" x14ac:dyDescent="0.25">
      <c r="A19" t="s">
        <v>192</v>
      </c>
      <c r="B19" s="1">
        <v>42741</v>
      </c>
      <c r="C19">
        <f t="shared" si="0"/>
        <v>301</v>
      </c>
      <c r="D19">
        <v>14217</v>
      </c>
      <c r="E19">
        <f>C19/D19</f>
        <v>2.1171836533727229E-2</v>
      </c>
    </row>
    <row r="20" spans="1:5" ht="14.25" customHeight="1" x14ac:dyDescent="0.25">
      <c r="A20" t="s">
        <v>193</v>
      </c>
      <c r="B20" s="1">
        <v>43042</v>
      </c>
      <c r="C20">
        <f t="shared" si="0"/>
        <v>427</v>
      </c>
      <c r="D20" s="19">
        <v>14510</v>
      </c>
      <c r="E20">
        <f>C20/D20</f>
        <v>2.9427980702963475E-2</v>
      </c>
    </row>
    <row r="21" spans="1:5" ht="14.25" customHeight="1" x14ac:dyDescent="0.25">
      <c r="A21" s="18" t="s">
        <v>868</v>
      </c>
      <c r="B21" s="1">
        <v>43469</v>
      </c>
    </row>
    <row r="22" spans="1:5" ht="14.25" customHeight="1" x14ac:dyDescent="0.25"/>
    <row r="23" spans="1:5" ht="14.25" customHeight="1" x14ac:dyDescent="0.25"/>
    <row r="24" spans="1:5" ht="14.25" customHeight="1" x14ac:dyDescent="0.25"/>
    <row r="25" spans="1:5" ht="14.25" customHeight="1" x14ac:dyDescent="0.25"/>
    <row r="26" spans="1:5" ht="14.25" customHeight="1" x14ac:dyDescent="0.25"/>
    <row r="27" spans="1:5" ht="14.25" customHeight="1" x14ac:dyDescent="0.25"/>
    <row r="28" spans="1:5" ht="14.25" customHeight="1" x14ac:dyDescent="0.25"/>
    <row r="29" spans="1:5" ht="14.25" customHeight="1" x14ac:dyDescent="0.25"/>
    <row r="30" spans="1:5" ht="14.25" customHeight="1" x14ac:dyDescent="0.25"/>
    <row r="31" spans="1:5" ht="14.25" customHeight="1" x14ac:dyDescent="0.25"/>
    <row r="32" spans="1:5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98"/>
  <sheetViews>
    <sheetView topLeftCell="A46" workbookViewId="0">
      <selection activeCell="C2" sqref="C2"/>
    </sheetView>
  </sheetViews>
  <sheetFormatPr defaultColWidth="14.42578125" defaultRowHeight="15" customHeight="1" x14ac:dyDescent="0.25"/>
  <cols>
    <col min="1" max="1" width="17.85546875" customWidth="1"/>
    <col min="2" max="2" width="14" customWidth="1"/>
    <col min="3" max="3" width="8" customWidth="1"/>
    <col min="4" max="22" width="8.7109375" customWidth="1"/>
  </cols>
  <sheetData>
    <row r="1" spans="1:3" ht="15.95" customHeight="1" x14ac:dyDescent="0.25">
      <c r="B1" s="1"/>
      <c r="C1" t="s">
        <v>0</v>
      </c>
    </row>
    <row r="2" spans="1:3" ht="15.95" customHeight="1" x14ac:dyDescent="0.25">
      <c r="B2" s="1" t="s">
        <v>1</v>
      </c>
      <c r="C2">
        <f>AVERAGE(C6:C65)</f>
        <v>28.482758620689655</v>
      </c>
    </row>
    <row r="3" spans="1:3" ht="15.95" customHeight="1" x14ac:dyDescent="0.25">
      <c r="B3" s="1" t="s">
        <v>2</v>
      </c>
      <c r="C3">
        <f>MEDIAN(C6:C65)</f>
        <v>15</v>
      </c>
    </row>
    <row r="4" spans="1:3" ht="15.95" customHeight="1" x14ac:dyDescent="0.25">
      <c r="B4" s="1" t="s">
        <v>3</v>
      </c>
      <c r="C4">
        <f>STDEV(C6:C65)</f>
        <v>34.507686089827111</v>
      </c>
    </row>
    <row r="5" spans="1:3" ht="15.95" customHeight="1" x14ac:dyDescent="0.25">
      <c r="A5" t="s">
        <v>4</v>
      </c>
      <c r="B5" s="1" t="s">
        <v>5</v>
      </c>
    </row>
    <row r="6" spans="1:3" ht="15.95" customHeight="1" x14ac:dyDescent="0.25">
      <c r="A6" t="s">
        <v>6</v>
      </c>
      <c r="B6" s="1">
        <v>38915</v>
      </c>
      <c r="C6">
        <f>DATEDIF(B6,B7,"d")</f>
        <v>62</v>
      </c>
    </row>
    <row r="7" spans="1:3" ht="15.95" customHeight="1" x14ac:dyDescent="0.25">
      <c r="A7" t="s">
        <v>8</v>
      </c>
      <c r="B7" s="1">
        <v>38977</v>
      </c>
      <c r="C7">
        <f t="shared" ref="C7:C64" si="0">DATEDIF(B7,B8,"d")</f>
        <v>87</v>
      </c>
    </row>
    <row r="8" spans="1:3" s="2" customFormat="1" ht="15.95" customHeight="1" x14ac:dyDescent="0.25">
      <c r="A8" s="2" t="s">
        <v>11</v>
      </c>
      <c r="B8" s="3">
        <v>39064</v>
      </c>
      <c r="C8">
        <f t="shared" si="0"/>
        <v>35</v>
      </c>
    </row>
    <row r="9" spans="1:3" ht="15.95" customHeight="1" x14ac:dyDescent="0.25">
      <c r="A9" t="s">
        <v>13</v>
      </c>
      <c r="B9" s="1">
        <v>39099</v>
      </c>
      <c r="C9">
        <f t="shared" si="0"/>
        <v>35</v>
      </c>
    </row>
    <row r="10" spans="1:3" s="2" customFormat="1" ht="15.95" customHeight="1" x14ac:dyDescent="0.25">
      <c r="A10" s="2" t="s">
        <v>16</v>
      </c>
      <c r="B10" s="3">
        <v>39134</v>
      </c>
      <c r="C10">
        <f t="shared" si="0"/>
        <v>29</v>
      </c>
    </row>
    <row r="11" spans="1:3" s="2" customFormat="1" ht="15.95" customHeight="1" x14ac:dyDescent="0.25">
      <c r="A11" s="2" t="s">
        <v>19</v>
      </c>
      <c r="B11" s="3">
        <v>39163</v>
      </c>
      <c r="C11">
        <f t="shared" si="0"/>
        <v>8</v>
      </c>
    </row>
    <row r="12" spans="1:3" ht="15.95" customHeight="1" x14ac:dyDescent="0.25">
      <c r="A12" t="s">
        <v>20</v>
      </c>
      <c r="B12" s="1">
        <v>39171</v>
      </c>
      <c r="C12">
        <f t="shared" si="0"/>
        <v>134</v>
      </c>
    </row>
    <row r="13" spans="1:3" s="2" customFormat="1" ht="15.95" customHeight="1" x14ac:dyDescent="0.25">
      <c r="A13" s="2" t="s">
        <v>23</v>
      </c>
      <c r="B13" s="3">
        <v>39305</v>
      </c>
      <c r="C13">
        <f t="shared" si="0"/>
        <v>66</v>
      </c>
    </row>
    <row r="14" spans="1:3" ht="15.95" customHeight="1" x14ac:dyDescent="0.25">
      <c r="A14" t="s">
        <v>26</v>
      </c>
      <c r="B14" s="1">
        <v>39371</v>
      </c>
    </row>
    <row r="15" spans="1:3" ht="15.95" customHeight="1" x14ac:dyDescent="0.25">
      <c r="A15" t="s">
        <v>28</v>
      </c>
      <c r="B15" s="1">
        <v>39356</v>
      </c>
      <c r="C15">
        <f t="shared" si="0"/>
        <v>142</v>
      </c>
    </row>
    <row r="16" spans="1:3" ht="15.95" customHeight="1" x14ac:dyDescent="0.25">
      <c r="A16" t="s">
        <v>31</v>
      </c>
      <c r="B16" s="1">
        <v>39498</v>
      </c>
      <c r="C16">
        <f t="shared" si="0"/>
        <v>16</v>
      </c>
    </row>
    <row r="17" spans="1:3" ht="15.95" customHeight="1" x14ac:dyDescent="0.25">
      <c r="A17" t="s">
        <v>33</v>
      </c>
      <c r="B17" s="1">
        <v>39514</v>
      </c>
      <c r="C17">
        <f t="shared" si="0"/>
        <v>11</v>
      </c>
    </row>
    <row r="18" spans="1:3" ht="15.95" customHeight="1" x14ac:dyDescent="0.25">
      <c r="A18" t="s">
        <v>36</v>
      </c>
      <c r="B18" s="1">
        <v>39525</v>
      </c>
      <c r="C18">
        <f t="shared" si="0"/>
        <v>38</v>
      </c>
    </row>
    <row r="19" spans="1:3" ht="15.95" customHeight="1" x14ac:dyDescent="0.25">
      <c r="A19" t="s">
        <v>38</v>
      </c>
      <c r="B19" s="1">
        <v>39563</v>
      </c>
      <c r="C19">
        <f t="shared" si="0"/>
        <v>55</v>
      </c>
    </row>
    <row r="20" spans="1:3" ht="15.95" customHeight="1" x14ac:dyDescent="0.25">
      <c r="A20" t="s">
        <v>41</v>
      </c>
      <c r="B20" s="1">
        <v>39618</v>
      </c>
      <c r="C20">
        <f t="shared" si="0"/>
        <v>49</v>
      </c>
    </row>
    <row r="21" spans="1:3" ht="15.95" customHeight="1" x14ac:dyDescent="0.25">
      <c r="A21" t="s">
        <v>44</v>
      </c>
      <c r="B21" s="1">
        <v>39667</v>
      </c>
      <c r="C21">
        <f t="shared" si="0"/>
        <v>34</v>
      </c>
    </row>
    <row r="22" spans="1:3" ht="15.95" customHeight="1" x14ac:dyDescent="0.25">
      <c r="A22" t="s">
        <v>46</v>
      </c>
      <c r="B22" s="1">
        <v>39701</v>
      </c>
      <c r="C22">
        <f t="shared" si="0"/>
        <v>40</v>
      </c>
    </row>
    <row r="23" spans="1:3" ht="15.95" customHeight="1" x14ac:dyDescent="0.25">
      <c r="A23" t="s">
        <v>49</v>
      </c>
      <c r="B23" s="1">
        <v>39741</v>
      </c>
      <c r="C23">
        <f t="shared" si="0"/>
        <v>15</v>
      </c>
    </row>
    <row r="24" spans="1:3" ht="15.95" customHeight="1" x14ac:dyDescent="0.25">
      <c r="A24" t="s">
        <v>51</v>
      </c>
      <c r="B24" s="1">
        <v>39756</v>
      </c>
      <c r="C24">
        <f t="shared" si="0"/>
        <v>25</v>
      </c>
    </row>
    <row r="25" spans="1:3" ht="15.95" customHeight="1" x14ac:dyDescent="0.25">
      <c r="A25" t="s">
        <v>54</v>
      </c>
      <c r="B25" s="1">
        <v>39781</v>
      </c>
      <c r="C25">
        <f t="shared" si="0"/>
        <v>43</v>
      </c>
    </row>
    <row r="26" spans="1:3" ht="15.95" customHeight="1" x14ac:dyDescent="0.25">
      <c r="A26" t="s">
        <v>56</v>
      </c>
      <c r="B26" s="1">
        <v>39824</v>
      </c>
      <c r="C26">
        <f t="shared" si="0"/>
        <v>15</v>
      </c>
    </row>
    <row r="27" spans="1:3" ht="15.95" customHeight="1" x14ac:dyDescent="0.25">
      <c r="A27" t="s">
        <v>60</v>
      </c>
      <c r="B27" s="1">
        <v>39839</v>
      </c>
      <c r="C27">
        <f t="shared" si="0"/>
        <v>2</v>
      </c>
    </row>
    <row r="28" spans="1:3" ht="15.95" customHeight="1" x14ac:dyDescent="0.25">
      <c r="A28" t="s">
        <v>62</v>
      </c>
      <c r="B28" s="1">
        <v>39841</v>
      </c>
      <c r="C28">
        <f t="shared" si="0"/>
        <v>10</v>
      </c>
    </row>
    <row r="29" spans="1:3" ht="15.95" customHeight="1" x14ac:dyDescent="0.25">
      <c r="A29" t="s">
        <v>63</v>
      </c>
      <c r="B29" s="1">
        <v>39851</v>
      </c>
      <c r="C29">
        <f t="shared" si="0"/>
        <v>13</v>
      </c>
    </row>
    <row r="30" spans="1:3" ht="15.95" customHeight="1" x14ac:dyDescent="0.25">
      <c r="A30" t="s">
        <v>64</v>
      </c>
      <c r="B30" s="1">
        <v>39864</v>
      </c>
      <c r="C30">
        <f t="shared" si="0"/>
        <v>6</v>
      </c>
    </row>
    <row r="31" spans="1:3" ht="15.95" customHeight="1" x14ac:dyDescent="0.25">
      <c r="A31" t="s">
        <v>67</v>
      </c>
      <c r="B31" s="1">
        <v>39870</v>
      </c>
      <c r="C31">
        <f t="shared" si="0"/>
        <v>1</v>
      </c>
    </row>
    <row r="32" spans="1:3" ht="15.95" customHeight="1" x14ac:dyDescent="0.25">
      <c r="A32" t="s">
        <v>69</v>
      </c>
      <c r="B32" s="1">
        <v>39871</v>
      </c>
      <c r="C32">
        <f t="shared" si="0"/>
        <v>16</v>
      </c>
    </row>
    <row r="33" spans="1:3" ht="15.95" customHeight="1" x14ac:dyDescent="0.25">
      <c r="A33" t="s">
        <v>72</v>
      </c>
      <c r="B33" s="1">
        <v>39887</v>
      </c>
      <c r="C33">
        <f t="shared" si="0"/>
        <v>4</v>
      </c>
    </row>
    <row r="34" spans="1:3" ht="15.95" customHeight="1" x14ac:dyDescent="0.25">
      <c r="A34" t="s">
        <v>76</v>
      </c>
      <c r="B34" s="1">
        <v>39891</v>
      </c>
      <c r="C34">
        <f t="shared" si="0"/>
        <v>84</v>
      </c>
    </row>
    <row r="35" spans="1:3" ht="15.95" customHeight="1" x14ac:dyDescent="0.25">
      <c r="A35" t="s">
        <v>79</v>
      </c>
      <c r="B35" s="1">
        <v>39975</v>
      </c>
      <c r="C35">
        <f t="shared" si="0"/>
        <v>18</v>
      </c>
    </row>
    <row r="36" spans="1:3" ht="15.95" customHeight="1" x14ac:dyDescent="0.25">
      <c r="A36" t="s">
        <v>81</v>
      </c>
      <c r="B36" s="1">
        <v>39993</v>
      </c>
      <c r="C36">
        <f t="shared" si="0"/>
        <v>12</v>
      </c>
    </row>
    <row r="37" spans="1:3" ht="15.95" customHeight="1" x14ac:dyDescent="0.25">
      <c r="A37" t="s">
        <v>84</v>
      </c>
      <c r="B37" s="1">
        <v>40005</v>
      </c>
      <c r="C37">
        <f t="shared" si="0"/>
        <v>7</v>
      </c>
    </row>
    <row r="38" spans="1:3" ht="15.95" customHeight="1" x14ac:dyDescent="0.25">
      <c r="A38" t="s">
        <v>87</v>
      </c>
      <c r="B38" s="1">
        <v>40012</v>
      </c>
      <c r="C38">
        <f t="shared" si="0"/>
        <v>34</v>
      </c>
    </row>
    <row r="39" spans="1:3" ht="15.95" customHeight="1" x14ac:dyDescent="0.25">
      <c r="A39" t="s">
        <v>90</v>
      </c>
      <c r="B39" s="1">
        <v>40046</v>
      </c>
      <c r="C39">
        <f t="shared" si="0"/>
        <v>24</v>
      </c>
    </row>
    <row r="40" spans="1:3" ht="15.95" customHeight="1" x14ac:dyDescent="0.25">
      <c r="A40" t="s">
        <v>93</v>
      </c>
      <c r="B40" s="1">
        <v>40070</v>
      </c>
      <c r="C40">
        <f t="shared" si="0"/>
        <v>0</v>
      </c>
    </row>
    <row r="41" spans="1:3" ht="15.95" customHeight="1" x14ac:dyDescent="0.25">
      <c r="A41" t="s">
        <v>95</v>
      </c>
      <c r="B41" s="1">
        <v>40070</v>
      </c>
      <c r="C41">
        <f t="shared" si="0"/>
        <v>7</v>
      </c>
    </row>
    <row r="42" spans="1:3" ht="15.95" customHeight="1" x14ac:dyDescent="0.25">
      <c r="A42" t="s">
        <v>99</v>
      </c>
      <c r="B42" s="1">
        <v>40077</v>
      </c>
      <c r="C42">
        <f t="shared" si="0"/>
        <v>6</v>
      </c>
    </row>
    <row r="43" spans="1:3" ht="15.95" customHeight="1" x14ac:dyDescent="0.25">
      <c r="A43" t="s">
        <v>101</v>
      </c>
      <c r="B43" s="1">
        <v>40083</v>
      </c>
      <c r="C43">
        <f t="shared" si="0"/>
        <v>5</v>
      </c>
    </row>
    <row r="44" spans="1:3" ht="15.95" customHeight="1" x14ac:dyDescent="0.25">
      <c r="A44" t="s">
        <v>103</v>
      </c>
      <c r="B44" s="1">
        <v>40088</v>
      </c>
      <c r="C44">
        <f t="shared" si="0"/>
        <v>6</v>
      </c>
    </row>
    <row r="45" spans="1:3" ht="15.95" customHeight="1" x14ac:dyDescent="0.25">
      <c r="A45" t="s">
        <v>105</v>
      </c>
      <c r="B45" s="1">
        <v>40094</v>
      </c>
      <c r="C45">
        <f t="shared" si="0"/>
        <v>3</v>
      </c>
    </row>
    <row r="46" spans="1:3" ht="15.95" customHeight="1" x14ac:dyDescent="0.25">
      <c r="A46" t="s">
        <v>108</v>
      </c>
      <c r="B46" s="1">
        <v>40097</v>
      </c>
      <c r="C46">
        <f t="shared" si="0"/>
        <v>14</v>
      </c>
    </row>
    <row r="47" spans="1:3" ht="15.95" customHeight="1" x14ac:dyDescent="0.25">
      <c r="A47" t="s">
        <v>110</v>
      </c>
      <c r="B47" s="1">
        <v>40111</v>
      </c>
      <c r="C47">
        <f t="shared" si="0"/>
        <v>14</v>
      </c>
    </row>
    <row r="48" spans="1:3" ht="15.95" customHeight="1" x14ac:dyDescent="0.25">
      <c r="A48" t="s">
        <v>112</v>
      </c>
      <c r="B48" s="1">
        <v>40125</v>
      </c>
      <c r="C48">
        <f t="shared" si="0"/>
        <v>8</v>
      </c>
    </row>
    <row r="49" spans="1:3" ht="15.95" customHeight="1" x14ac:dyDescent="0.25">
      <c r="A49" t="s">
        <v>114</v>
      </c>
      <c r="B49" s="1">
        <v>40133</v>
      </c>
      <c r="C49">
        <f t="shared" si="0"/>
        <v>28</v>
      </c>
    </row>
    <row r="50" spans="1:3" ht="15.95" customHeight="1" x14ac:dyDescent="0.25">
      <c r="A50" t="s">
        <v>117</v>
      </c>
      <c r="B50" s="1">
        <v>40161</v>
      </c>
      <c r="C50">
        <f t="shared" si="0"/>
        <v>7</v>
      </c>
    </row>
    <row r="51" spans="1:3" ht="15.95" customHeight="1" x14ac:dyDescent="0.25">
      <c r="A51" t="s">
        <v>123</v>
      </c>
      <c r="B51" s="1">
        <v>40168</v>
      </c>
      <c r="C51">
        <f t="shared" si="0"/>
        <v>23</v>
      </c>
    </row>
    <row r="52" spans="1:3" ht="15.95" customHeight="1" x14ac:dyDescent="0.25">
      <c r="A52" t="s">
        <v>126</v>
      </c>
      <c r="B52" s="1">
        <v>40191</v>
      </c>
      <c r="C52">
        <f t="shared" si="0"/>
        <v>48</v>
      </c>
    </row>
    <row r="53" spans="1:3" ht="15.95" customHeight="1" x14ac:dyDescent="0.25">
      <c r="A53" t="s">
        <v>128</v>
      </c>
      <c r="B53" s="1">
        <v>40239</v>
      </c>
      <c r="C53">
        <f t="shared" si="0"/>
        <v>4</v>
      </c>
    </row>
    <row r="54" spans="1:3" ht="15.95" customHeight="1" x14ac:dyDescent="0.25">
      <c r="A54" t="s">
        <v>130</v>
      </c>
      <c r="B54" s="1">
        <v>40243</v>
      </c>
      <c r="C54">
        <f t="shared" si="0"/>
        <v>0</v>
      </c>
    </row>
    <row r="55" spans="1:3" ht="15.95" customHeight="1" x14ac:dyDescent="0.25">
      <c r="A55" t="s">
        <v>132</v>
      </c>
      <c r="B55" s="1">
        <v>40243</v>
      </c>
      <c r="C55">
        <f t="shared" si="0"/>
        <v>3</v>
      </c>
    </row>
    <row r="56" spans="1:3" ht="15.95" customHeight="1" x14ac:dyDescent="0.25">
      <c r="A56" t="s">
        <v>134</v>
      </c>
      <c r="B56" s="1">
        <v>40246</v>
      </c>
      <c r="C56">
        <f t="shared" si="0"/>
        <v>4</v>
      </c>
    </row>
    <row r="57" spans="1:3" ht="15.95" customHeight="1" x14ac:dyDescent="0.25">
      <c r="A57" t="s">
        <v>136</v>
      </c>
      <c r="B57" s="1">
        <v>40250</v>
      </c>
      <c r="C57">
        <f t="shared" si="0"/>
        <v>1</v>
      </c>
    </row>
    <row r="58" spans="1:3" ht="15.95" customHeight="1" x14ac:dyDescent="0.25">
      <c r="A58" t="s">
        <v>138</v>
      </c>
      <c r="B58" s="1">
        <v>40251</v>
      </c>
      <c r="C58">
        <f t="shared" si="0"/>
        <v>2</v>
      </c>
    </row>
    <row r="59" spans="1:3" ht="15.95" customHeight="1" x14ac:dyDescent="0.25">
      <c r="A59" t="s">
        <v>140</v>
      </c>
      <c r="B59" s="1">
        <v>40253</v>
      </c>
      <c r="C59">
        <f t="shared" si="0"/>
        <v>26</v>
      </c>
    </row>
    <row r="60" spans="1:3" ht="15.95" customHeight="1" x14ac:dyDescent="0.25">
      <c r="A60" t="s">
        <v>141</v>
      </c>
      <c r="B60" s="1">
        <v>40279</v>
      </c>
      <c r="C60">
        <f t="shared" si="0"/>
        <v>5</v>
      </c>
    </row>
    <row r="61" spans="1:3" ht="15.95" customHeight="1" x14ac:dyDescent="0.25">
      <c r="A61" t="s">
        <v>143</v>
      </c>
      <c r="B61" s="1">
        <v>40284</v>
      </c>
      <c r="C61">
        <f t="shared" si="0"/>
        <v>3</v>
      </c>
    </row>
    <row r="62" spans="1:3" ht="15.95" customHeight="1" x14ac:dyDescent="0.25">
      <c r="A62" t="s">
        <v>145</v>
      </c>
      <c r="B62" s="1">
        <v>40287</v>
      </c>
      <c r="C62">
        <f t="shared" si="0"/>
        <v>24</v>
      </c>
    </row>
    <row r="63" spans="1:3" ht="15.95" customHeight="1" x14ac:dyDescent="0.25">
      <c r="A63" t="s">
        <v>147</v>
      </c>
      <c r="B63" s="1">
        <v>40311</v>
      </c>
      <c r="C63">
        <f t="shared" si="0"/>
        <v>131</v>
      </c>
    </row>
    <row r="64" spans="1:3" ht="15.95" customHeight="1" x14ac:dyDescent="0.25">
      <c r="A64" t="s">
        <v>149</v>
      </c>
      <c r="B64" s="1">
        <v>40442</v>
      </c>
      <c r="C64">
        <f t="shared" si="0"/>
        <v>110</v>
      </c>
    </row>
    <row r="65" spans="1:2" ht="15.95" customHeight="1" x14ac:dyDescent="0.25">
      <c r="A65" t="s">
        <v>150</v>
      </c>
      <c r="B65" s="1">
        <v>40552</v>
      </c>
    </row>
    <row r="66" spans="1:2" ht="14.25" customHeight="1" x14ac:dyDescent="0.25"/>
    <row r="67" spans="1:2" ht="14.25" customHeight="1" x14ac:dyDescent="0.25"/>
    <row r="68" spans="1:2" ht="14.25" customHeight="1" x14ac:dyDescent="0.25"/>
    <row r="69" spans="1:2" ht="14.25" customHeight="1" x14ac:dyDescent="0.25"/>
    <row r="70" spans="1:2" ht="14.25" customHeight="1" x14ac:dyDescent="0.25"/>
    <row r="71" spans="1:2" ht="14.25" customHeight="1" x14ac:dyDescent="0.25"/>
    <row r="72" spans="1:2" ht="14.25" customHeight="1" x14ac:dyDescent="0.25"/>
    <row r="73" spans="1:2" ht="14.25" customHeight="1" x14ac:dyDescent="0.25"/>
    <row r="74" spans="1:2" ht="14.25" customHeight="1" x14ac:dyDescent="0.25"/>
    <row r="75" spans="1:2" ht="14.25" customHeight="1" x14ac:dyDescent="0.25"/>
    <row r="76" spans="1:2" ht="14.25" customHeight="1" x14ac:dyDescent="0.25"/>
    <row r="77" spans="1:2" ht="14.25" customHeight="1" x14ac:dyDescent="0.25"/>
    <row r="78" spans="1:2" ht="14.25" customHeight="1" x14ac:dyDescent="0.25"/>
    <row r="79" spans="1:2" ht="14.25" customHeight="1" x14ac:dyDescent="0.25"/>
    <row r="80" spans="1:2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</sheetData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93"/>
  <sheetViews>
    <sheetView topLeftCell="A64" workbookViewId="0">
      <selection activeCell="C45" sqref="C45"/>
    </sheetView>
  </sheetViews>
  <sheetFormatPr defaultColWidth="14.42578125" defaultRowHeight="15" customHeight="1" x14ac:dyDescent="0.25"/>
  <cols>
    <col min="1" max="1" width="9.85546875" customWidth="1"/>
    <col min="2" max="2" width="12.140625" customWidth="1"/>
    <col min="3" max="3" width="4.5703125" customWidth="1"/>
    <col min="4" max="19" width="8.7109375" customWidth="1"/>
  </cols>
  <sheetData>
    <row r="1" spans="1:3" ht="14.25" customHeight="1" x14ac:dyDescent="0.25">
      <c r="B1" s="1"/>
      <c r="C1" t="s">
        <v>0</v>
      </c>
    </row>
    <row r="2" spans="1:3" ht="14.25" customHeight="1" x14ac:dyDescent="0.25">
      <c r="B2" s="1" t="s">
        <v>1</v>
      </c>
      <c r="C2">
        <f>AVERAGE(C6:C86)</f>
        <v>19.137499999999999</v>
      </c>
    </row>
    <row r="3" spans="1:3" ht="14.25" customHeight="1" x14ac:dyDescent="0.25">
      <c r="B3" s="1" t="s">
        <v>2</v>
      </c>
      <c r="C3">
        <f>MEDIAN(C6:C86)</f>
        <v>11</v>
      </c>
    </row>
    <row r="4" spans="1:3" ht="14.25" customHeight="1" x14ac:dyDescent="0.25">
      <c r="B4" s="1" t="s">
        <v>3</v>
      </c>
      <c r="C4">
        <f>STDEV(C6:C86)</f>
        <v>31.249402525933967</v>
      </c>
    </row>
    <row r="5" spans="1:3" ht="14.25" customHeight="1" x14ac:dyDescent="0.25">
      <c r="A5" t="s">
        <v>4</v>
      </c>
      <c r="B5" s="1" t="s">
        <v>5</v>
      </c>
    </row>
    <row r="6" spans="1:3" ht="14.25" customHeight="1" x14ac:dyDescent="0.25">
      <c r="A6" t="s">
        <v>194</v>
      </c>
      <c r="B6" s="1">
        <v>41446</v>
      </c>
      <c r="C6">
        <f t="shared" ref="C6:C37" si="0">DATEDIF(B6,B7,"d")</f>
        <v>76</v>
      </c>
    </row>
    <row r="7" spans="1:3" ht="14.25" customHeight="1" x14ac:dyDescent="0.25">
      <c r="A7" t="s">
        <v>7</v>
      </c>
      <c r="B7" s="1">
        <v>41522</v>
      </c>
      <c r="C7">
        <f t="shared" si="0"/>
        <v>7</v>
      </c>
    </row>
    <row r="8" spans="1:3" ht="14.25" customHeight="1" x14ac:dyDescent="0.25">
      <c r="A8" t="s">
        <v>9</v>
      </c>
      <c r="B8" s="1">
        <v>41529</v>
      </c>
      <c r="C8">
        <f t="shared" si="0"/>
        <v>19</v>
      </c>
    </row>
    <row r="9" spans="1:3" ht="14.25" customHeight="1" x14ac:dyDescent="0.25">
      <c r="A9" t="s">
        <v>12</v>
      </c>
      <c r="B9" s="1">
        <v>41548</v>
      </c>
      <c r="C9">
        <f t="shared" si="0"/>
        <v>27</v>
      </c>
    </row>
    <row r="10" spans="1:3" ht="14.25" customHeight="1" x14ac:dyDescent="0.25">
      <c r="A10" t="s">
        <v>14</v>
      </c>
      <c r="B10" s="1">
        <v>41575</v>
      </c>
      <c r="C10">
        <f t="shared" si="0"/>
        <v>1</v>
      </c>
    </row>
    <row r="11" spans="1:3" ht="14.25" customHeight="1" x14ac:dyDescent="0.25">
      <c r="A11" t="s">
        <v>18</v>
      </c>
      <c r="B11" s="1">
        <v>41576</v>
      </c>
      <c r="C11">
        <f t="shared" si="0"/>
        <v>27</v>
      </c>
    </row>
    <row r="12" spans="1:3" ht="14.25" customHeight="1" x14ac:dyDescent="0.25">
      <c r="A12" t="s">
        <v>21</v>
      </c>
      <c r="B12" s="1">
        <v>41603</v>
      </c>
      <c r="C12">
        <f t="shared" si="0"/>
        <v>1</v>
      </c>
    </row>
    <row r="13" spans="1:3" ht="14.25" customHeight="1" x14ac:dyDescent="0.25">
      <c r="A13" t="s">
        <v>25</v>
      </c>
      <c r="B13" s="1">
        <v>41604</v>
      </c>
      <c r="C13">
        <f t="shared" si="0"/>
        <v>17</v>
      </c>
    </row>
    <row r="14" spans="1:3" ht="14.25" customHeight="1" x14ac:dyDescent="0.25">
      <c r="A14" t="s">
        <v>30</v>
      </c>
      <c r="B14" s="1">
        <v>41621</v>
      </c>
      <c r="C14">
        <f t="shared" si="0"/>
        <v>28</v>
      </c>
    </row>
    <row r="15" spans="1:3" ht="14.25" customHeight="1" x14ac:dyDescent="0.25">
      <c r="A15" t="s">
        <v>34</v>
      </c>
      <c r="B15" s="1">
        <v>41649</v>
      </c>
      <c r="C15">
        <f t="shared" si="0"/>
        <v>21</v>
      </c>
    </row>
    <row r="16" spans="1:3" ht="14.25" customHeight="1" x14ac:dyDescent="0.25">
      <c r="A16" t="s">
        <v>37</v>
      </c>
      <c r="B16" s="1">
        <v>41670</v>
      </c>
      <c r="C16">
        <f t="shared" si="0"/>
        <v>3</v>
      </c>
    </row>
    <row r="17" spans="1:3" ht="14.25" customHeight="1" x14ac:dyDescent="0.25">
      <c r="A17" t="s">
        <v>39</v>
      </c>
      <c r="B17" s="1">
        <v>41673</v>
      </c>
      <c r="C17">
        <f t="shared" si="0"/>
        <v>4</v>
      </c>
    </row>
    <row r="18" spans="1:3" ht="14.25" customHeight="1" x14ac:dyDescent="0.25">
      <c r="A18" t="s">
        <v>42</v>
      </c>
      <c r="B18" s="1">
        <v>41677</v>
      </c>
      <c r="C18">
        <f t="shared" si="0"/>
        <v>14</v>
      </c>
    </row>
    <row r="19" spans="1:3" ht="14.25" customHeight="1" x14ac:dyDescent="0.25">
      <c r="A19" t="s">
        <v>45</v>
      </c>
      <c r="B19" s="1">
        <v>41691</v>
      </c>
      <c r="C19">
        <f t="shared" si="0"/>
        <v>47</v>
      </c>
    </row>
    <row r="20" spans="1:3" ht="14.25" customHeight="1" x14ac:dyDescent="0.25">
      <c r="A20" t="s">
        <v>48</v>
      </c>
      <c r="B20" s="1">
        <v>41738</v>
      </c>
      <c r="C20">
        <f t="shared" si="0"/>
        <v>1</v>
      </c>
    </row>
    <row r="21" spans="1:3" ht="14.25" customHeight="1" x14ac:dyDescent="0.25">
      <c r="A21" t="s">
        <v>52</v>
      </c>
      <c r="B21" s="1">
        <v>41739</v>
      </c>
      <c r="C21">
        <f t="shared" si="0"/>
        <v>5</v>
      </c>
    </row>
    <row r="22" spans="1:3" ht="14.25" customHeight="1" x14ac:dyDescent="0.25">
      <c r="A22" t="s">
        <v>55</v>
      </c>
      <c r="B22" s="1">
        <v>41744</v>
      </c>
      <c r="C22">
        <f t="shared" si="0"/>
        <v>1</v>
      </c>
    </row>
    <row r="23" spans="1:3" ht="14.25" customHeight="1" x14ac:dyDescent="0.25">
      <c r="A23" t="s">
        <v>59</v>
      </c>
      <c r="B23" s="1">
        <v>41745</v>
      </c>
      <c r="C23">
        <f t="shared" si="0"/>
        <v>15</v>
      </c>
    </row>
    <row r="24" spans="1:3" ht="14.25" customHeight="1" x14ac:dyDescent="0.25">
      <c r="A24" t="s">
        <v>61</v>
      </c>
      <c r="B24" s="1">
        <v>41760</v>
      </c>
      <c r="C24">
        <f t="shared" si="0"/>
        <v>26</v>
      </c>
    </row>
    <row r="25" spans="1:3" ht="14.25" customHeight="1" x14ac:dyDescent="0.25">
      <c r="A25" t="s">
        <v>65</v>
      </c>
      <c r="B25" s="1">
        <v>41786</v>
      </c>
      <c r="C25">
        <f t="shared" si="0"/>
        <v>7</v>
      </c>
    </row>
    <row r="26" spans="1:3" ht="14.25" customHeight="1" x14ac:dyDescent="0.25">
      <c r="A26" t="s">
        <v>68</v>
      </c>
      <c r="B26" s="1">
        <v>41793</v>
      </c>
      <c r="C26">
        <f t="shared" si="0"/>
        <v>3</v>
      </c>
    </row>
    <row r="27" spans="1:3" ht="14.25" customHeight="1" x14ac:dyDescent="0.25">
      <c r="A27" t="s">
        <v>71</v>
      </c>
      <c r="B27" s="1">
        <v>41796</v>
      </c>
      <c r="C27">
        <f t="shared" si="0"/>
        <v>18</v>
      </c>
    </row>
    <row r="28" spans="1:3" ht="14.25" customHeight="1" x14ac:dyDescent="0.25">
      <c r="A28" t="s">
        <v>74</v>
      </c>
      <c r="B28" s="1">
        <v>41814</v>
      </c>
      <c r="C28">
        <f t="shared" si="0"/>
        <v>8</v>
      </c>
    </row>
    <row r="29" spans="1:3" ht="14.25" customHeight="1" x14ac:dyDescent="0.25">
      <c r="A29" t="s">
        <v>77</v>
      </c>
      <c r="B29" s="1">
        <v>41822</v>
      </c>
      <c r="C29">
        <f t="shared" si="0"/>
        <v>21</v>
      </c>
    </row>
    <row r="30" spans="1:3" ht="14.25" customHeight="1" x14ac:dyDescent="0.25">
      <c r="A30" t="s">
        <v>80</v>
      </c>
      <c r="B30" s="1">
        <v>41843</v>
      </c>
      <c r="C30">
        <f t="shared" si="0"/>
        <v>9</v>
      </c>
    </row>
    <row r="31" spans="1:3" ht="14.25" customHeight="1" x14ac:dyDescent="0.25">
      <c r="A31" t="s">
        <v>82</v>
      </c>
      <c r="B31" s="1">
        <v>41852</v>
      </c>
      <c r="C31">
        <f t="shared" si="0"/>
        <v>10</v>
      </c>
    </row>
    <row r="32" spans="1:3" ht="14.25" customHeight="1" x14ac:dyDescent="0.25">
      <c r="A32" t="s">
        <v>85</v>
      </c>
      <c r="B32" s="1">
        <v>41862</v>
      </c>
      <c r="C32">
        <f t="shared" si="0"/>
        <v>14</v>
      </c>
    </row>
    <row r="33" spans="1:3" ht="14.25" customHeight="1" x14ac:dyDescent="0.25">
      <c r="A33" t="s">
        <v>88</v>
      </c>
      <c r="B33" s="1">
        <v>41876</v>
      </c>
      <c r="C33">
        <f t="shared" si="0"/>
        <v>1</v>
      </c>
    </row>
    <row r="34" spans="1:3" ht="14.25" customHeight="1" x14ac:dyDescent="0.25">
      <c r="A34" t="s">
        <v>91</v>
      </c>
      <c r="B34" s="1">
        <v>41877</v>
      </c>
      <c r="C34">
        <f t="shared" si="0"/>
        <v>7</v>
      </c>
    </row>
    <row r="35" spans="1:3" ht="14.25" customHeight="1" x14ac:dyDescent="0.25">
      <c r="A35" t="s">
        <v>94</v>
      </c>
      <c r="B35" s="1">
        <v>41884</v>
      </c>
      <c r="C35">
        <f t="shared" si="0"/>
        <v>2</v>
      </c>
    </row>
    <row r="36" spans="1:3" ht="14.25" customHeight="1" x14ac:dyDescent="0.25">
      <c r="A36" t="s">
        <v>97</v>
      </c>
      <c r="B36" s="1">
        <v>41886</v>
      </c>
      <c r="C36">
        <f t="shared" si="0"/>
        <v>18</v>
      </c>
    </row>
    <row r="37" spans="1:3" ht="14.25" customHeight="1" x14ac:dyDescent="0.25">
      <c r="A37" t="s">
        <v>100</v>
      </c>
      <c r="B37" s="1">
        <v>41904</v>
      </c>
      <c r="C37">
        <f t="shared" si="0"/>
        <v>11</v>
      </c>
    </row>
    <row r="38" spans="1:3" ht="14.25" customHeight="1" x14ac:dyDescent="0.25">
      <c r="A38" t="s">
        <v>104</v>
      </c>
      <c r="B38" s="1">
        <v>41915</v>
      </c>
      <c r="C38">
        <f t="shared" ref="C38:C69" si="1">DATEDIF(B38,B39,"d")</f>
        <v>4</v>
      </c>
    </row>
    <row r="39" spans="1:3" ht="14.25" customHeight="1" x14ac:dyDescent="0.25">
      <c r="A39" t="s">
        <v>106</v>
      </c>
      <c r="B39" s="1">
        <v>41919</v>
      </c>
      <c r="C39">
        <f t="shared" si="1"/>
        <v>49</v>
      </c>
    </row>
    <row r="40" spans="1:3" ht="14.25" customHeight="1" x14ac:dyDescent="0.25">
      <c r="A40" t="s">
        <v>109</v>
      </c>
      <c r="B40" s="1">
        <v>41968</v>
      </c>
      <c r="C40">
        <f t="shared" si="1"/>
        <v>13</v>
      </c>
    </row>
    <row r="41" spans="1:3" ht="14.25" customHeight="1" x14ac:dyDescent="0.25">
      <c r="A41" t="s">
        <v>111</v>
      </c>
      <c r="B41" s="1">
        <v>41981</v>
      </c>
      <c r="C41">
        <f t="shared" si="1"/>
        <v>35</v>
      </c>
    </row>
    <row r="42" spans="1:3" ht="14.25" customHeight="1" x14ac:dyDescent="0.25">
      <c r="A42" t="s">
        <v>113</v>
      </c>
      <c r="B42" s="1">
        <v>42016</v>
      </c>
      <c r="C42">
        <f t="shared" si="1"/>
        <v>22</v>
      </c>
    </row>
    <row r="43" spans="1:3" ht="14.25" customHeight="1" x14ac:dyDescent="0.25">
      <c r="A43" t="s">
        <v>115</v>
      </c>
      <c r="B43" s="1">
        <v>42038</v>
      </c>
      <c r="C43">
        <f t="shared" si="1"/>
        <v>29</v>
      </c>
    </row>
    <row r="44" spans="1:3" ht="14.25" customHeight="1" x14ac:dyDescent="0.25">
      <c r="A44" t="s">
        <v>118</v>
      </c>
      <c r="B44" s="1">
        <v>42067</v>
      </c>
      <c r="C44">
        <f t="shared" si="1"/>
        <v>13</v>
      </c>
    </row>
    <row r="45" spans="1:3" ht="14.25" customHeight="1" x14ac:dyDescent="0.25">
      <c r="A45" t="s">
        <v>120</v>
      </c>
      <c r="B45" s="1">
        <v>42080</v>
      </c>
      <c r="C45">
        <f t="shared" si="1"/>
        <v>24</v>
      </c>
    </row>
    <row r="46" spans="1:3" ht="14.25" customHeight="1" x14ac:dyDescent="0.25">
      <c r="A46" t="s">
        <v>122</v>
      </c>
      <c r="B46" s="1">
        <v>42104</v>
      </c>
      <c r="C46">
        <f t="shared" si="1"/>
        <v>5</v>
      </c>
    </row>
    <row r="47" spans="1:3" ht="14.25" customHeight="1" x14ac:dyDescent="0.25">
      <c r="A47" t="s">
        <v>125</v>
      </c>
      <c r="B47" s="1">
        <v>42109</v>
      </c>
      <c r="C47">
        <f t="shared" si="1"/>
        <v>8</v>
      </c>
    </row>
    <row r="48" spans="1:3" ht="14.25" customHeight="1" x14ac:dyDescent="0.25">
      <c r="A48" t="s">
        <v>127</v>
      </c>
      <c r="B48" s="1">
        <v>42117</v>
      </c>
      <c r="C48">
        <f t="shared" si="1"/>
        <v>8</v>
      </c>
    </row>
    <row r="49" spans="1:3" ht="14.25" customHeight="1" x14ac:dyDescent="0.25">
      <c r="A49" t="s">
        <v>129</v>
      </c>
      <c r="B49" s="1">
        <v>42125</v>
      </c>
      <c r="C49">
        <f t="shared" si="1"/>
        <v>10</v>
      </c>
    </row>
    <row r="50" spans="1:3" ht="14.25" customHeight="1" x14ac:dyDescent="0.25">
      <c r="A50" t="s">
        <v>131</v>
      </c>
      <c r="B50" s="1">
        <v>42135</v>
      </c>
      <c r="C50">
        <f t="shared" si="1"/>
        <v>11</v>
      </c>
    </row>
    <row r="51" spans="1:3" ht="14.25" customHeight="1" x14ac:dyDescent="0.25">
      <c r="A51" t="s">
        <v>133</v>
      </c>
      <c r="B51" s="1">
        <v>42146</v>
      </c>
      <c r="C51">
        <f t="shared" si="1"/>
        <v>14</v>
      </c>
    </row>
    <row r="52" spans="1:3" ht="14.25" customHeight="1" x14ac:dyDescent="0.25">
      <c r="A52" t="s">
        <v>135</v>
      </c>
      <c r="B52" s="1">
        <v>42160</v>
      </c>
      <c r="C52">
        <f t="shared" si="1"/>
        <v>4</v>
      </c>
    </row>
    <row r="53" spans="1:3" ht="14.25" customHeight="1" x14ac:dyDescent="0.25">
      <c r="A53" t="s">
        <v>137</v>
      </c>
      <c r="B53" s="1">
        <v>42164</v>
      </c>
      <c r="C53">
        <f t="shared" si="1"/>
        <v>3</v>
      </c>
    </row>
    <row r="54" spans="1:3" ht="14.25" customHeight="1" x14ac:dyDescent="0.25">
      <c r="A54" t="s">
        <v>139</v>
      </c>
      <c r="B54" s="1">
        <v>42167</v>
      </c>
      <c r="C54">
        <f t="shared" si="1"/>
        <v>8</v>
      </c>
    </row>
    <row r="55" spans="1:3" ht="14.25" customHeight="1" x14ac:dyDescent="0.25">
      <c r="A55" t="s">
        <v>142</v>
      </c>
      <c r="B55" s="1">
        <v>42175</v>
      </c>
      <c r="C55">
        <f t="shared" si="1"/>
        <v>55</v>
      </c>
    </row>
    <row r="56" spans="1:3" ht="14.25" customHeight="1" x14ac:dyDescent="0.25">
      <c r="A56" t="s">
        <v>144</v>
      </c>
      <c r="B56" s="1">
        <v>42230</v>
      </c>
      <c r="C56">
        <f t="shared" si="1"/>
        <v>31</v>
      </c>
    </row>
    <row r="57" spans="1:3" ht="14.25" customHeight="1" x14ac:dyDescent="0.25">
      <c r="A57" t="s">
        <v>146</v>
      </c>
      <c r="B57" s="1">
        <v>42261</v>
      </c>
      <c r="C57">
        <f t="shared" si="1"/>
        <v>10</v>
      </c>
    </row>
    <row r="58" spans="1:3" ht="14.25" customHeight="1" x14ac:dyDescent="0.25">
      <c r="A58" t="s">
        <v>148</v>
      </c>
      <c r="B58" s="1">
        <v>42271</v>
      </c>
      <c r="C58">
        <f t="shared" si="1"/>
        <v>14</v>
      </c>
    </row>
    <row r="59" spans="1:3" ht="14.25" customHeight="1" x14ac:dyDescent="0.25">
      <c r="A59" t="s">
        <v>151</v>
      </c>
      <c r="B59" s="1">
        <v>42285</v>
      </c>
      <c r="C59">
        <f t="shared" si="1"/>
        <v>11</v>
      </c>
    </row>
    <row r="60" spans="1:3" ht="14.25" customHeight="1" x14ac:dyDescent="0.25">
      <c r="A60" t="s">
        <v>152</v>
      </c>
      <c r="B60" s="1">
        <v>42296</v>
      </c>
      <c r="C60">
        <f t="shared" si="1"/>
        <v>8</v>
      </c>
    </row>
    <row r="61" spans="1:3" ht="14.25" customHeight="1" x14ac:dyDescent="0.25">
      <c r="A61" t="s">
        <v>153</v>
      </c>
      <c r="B61" s="1">
        <v>42304</v>
      </c>
      <c r="C61">
        <f t="shared" si="1"/>
        <v>3</v>
      </c>
    </row>
    <row r="62" spans="1:3" ht="14.25" customHeight="1" x14ac:dyDescent="0.25">
      <c r="A62" t="s">
        <v>154</v>
      </c>
      <c r="B62" s="1">
        <v>42307</v>
      </c>
      <c r="C62">
        <f t="shared" si="1"/>
        <v>5</v>
      </c>
    </row>
    <row r="63" spans="1:3" ht="14.25" customHeight="1" x14ac:dyDescent="0.25">
      <c r="A63" t="s">
        <v>155</v>
      </c>
      <c r="B63" s="1">
        <v>42312</v>
      </c>
      <c r="C63">
        <f t="shared" si="1"/>
        <v>7</v>
      </c>
    </row>
    <row r="64" spans="1:3" ht="14.25" customHeight="1" x14ac:dyDescent="0.25">
      <c r="A64" t="s">
        <v>156</v>
      </c>
      <c r="B64" s="1">
        <v>42319</v>
      </c>
      <c r="C64">
        <f t="shared" si="1"/>
        <v>14</v>
      </c>
    </row>
    <row r="65" spans="1:3" ht="14.25" customHeight="1" x14ac:dyDescent="0.25">
      <c r="A65" t="s">
        <v>157</v>
      </c>
      <c r="B65" s="1">
        <v>42333</v>
      </c>
      <c r="C65">
        <f t="shared" si="1"/>
        <v>13</v>
      </c>
    </row>
    <row r="66" spans="1:3" ht="14.25" customHeight="1" x14ac:dyDescent="0.25">
      <c r="A66" t="s">
        <v>158</v>
      </c>
      <c r="B66" s="1">
        <v>42346</v>
      </c>
      <c r="C66">
        <f t="shared" si="1"/>
        <v>7</v>
      </c>
    </row>
    <row r="67" spans="1:3" ht="14.25" customHeight="1" x14ac:dyDescent="0.25">
      <c r="A67" t="s">
        <v>159</v>
      </c>
      <c r="B67" s="1">
        <v>42353</v>
      </c>
      <c r="C67">
        <f t="shared" si="1"/>
        <v>20</v>
      </c>
    </row>
    <row r="68" spans="1:3" ht="14.25" customHeight="1" x14ac:dyDescent="0.25">
      <c r="A68" t="s">
        <v>160</v>
      </c>
      <c r="B68" s="1">
        <v>42373</v>
      </c>
      <c r="C68">
        <f t="shared" si="1"/>
        <v>2</v>
      </c>
    </row>
    <row r="69" spans="1:3" ht="14.25" customHeight="1" x14ac:dyDescent="0.25">
      <c r="A69" t="s">
        <v>161</v>
      </c>
      <c r="B69" s="1">
        <v>42375</v>
      </c>
      <c r="C69">
        <f t="shared" si="1"/>
        <v>0</v>
      </c>
    </row>
    <row r="70" spans="1:3" ht="14.25" customHeight="1" x14ac:dyDescent="0.25">
      <c r="A70" t="s">
        <v>162</v>
      </c>
      <c r="B70" s="1">
        <v>42375</v>
      </c>
      <c r="C70">
        <f t="shared" ref="C70:C85" si="2">DATEDIF(B70,B71,"d")</f>
        <v>2</v>
      </c>
    </row>
    <row r="71" spans="1:3" ht="14.25" customHeight="1" x14ac:dyDescent="0.25">
      <c r="A71" t="s">
        <v>163</v>
      </c>
      <c r="B71" s="1">
        <v>42377</v>
      </c>
      <c r="C71">
        <f t="shared" si="2"/>
        <v>4</v>
      </c>
    </row>
    <row r="72" spans="1:3" ht="14.25" customHeight="1" x14ac:dyDescent="0.25">
      <c r="A72" t="s">
        <v>164</v>
      </c>
      <c r="B72" s="1">
        <v>42381</v>
      </c>
      <c r="C72">
        <f t="shared" si="2"/>
        <v>27</v>
      </c>
    </row>
    <row r="73" spans="1:3" ht="14.25" customHeight="1" x14ac:dyDescent="0.25">
      <c r="A73" t="s">
        <v>165</v>
      </c>
      <c r="B73" s="1">
        <v>42408</v>
      </c>
      <c r="C73">
        <f t="shared" si="2"/>
        <v>50</v>
      </c>
    </row>
    <row r="74" spans="1:3" ht="14.25" customHeight="1" x14ac:dyDescent="0.25">
      <c r="A74" t="s">
        <v>166</v>
      </c>
      <c r="B74" s="1">
        <v>42458</v>
      </c>
      <c r="C74">
        <f t="shared" si="2"/>
        <v>20</v>
      </c>
    </row>
    <row r="75" spans="1:3" ht="14.25" customHeight="1" x14ac:dyDescent="0.25">
      <c r="A75" t="s">
        <v>167</v>
      </c>
      <c r="B75" s="1">
        <v>42478</v>
      </c>
      <c r="C75">
        <f t="shared" si="2"/>
        <v>35</v>
      </c>
    </row>
    <row r="76" spans="1:3" ht="14.25" customHeight="1" x14ac:dyDescent="0.25">
      <c r="A76" t="s">
        <v>168</v>
      </c>
      <c r="B76" s="1">
        <v>42513</v>
      </c>
      <c r="C76">
        <f t="shared" si="2"/>
        <v>9</v>
      </c>
    </row>
    <row r="77" spans="1:3" ht="14.25" customHeight="1" x14ac:dyDescent="0.25">
      <c r="A77" t="s">
        <v>169</v>
      </c>
      <c r="B77" s="1">
        <v>42522</v>
      </c>
      <c r="C77">
        <f t="shared" si="2"/>
        <v>27</v>
      </c>
    </row>
    <row r="78" spans="1:3" ht="14.25" customHeight="1" x14ac:dyDescent="0.25">
      <c r="A78" t="s">
        <v>170</v>
      </c>
      <c r="B78" s="1">
        <v>42549</v>
      </c>
      <c r="C78">
        <f t="shared" si="2"/>
        <v>27</v>
      </c>
    </row>
    <row r="79" spans="1:3" ht="14.25" customHeight="1" x14ac:dyDescent="0.25">
      <c r="A79" t="s">
        <v>171</v>
      </c>
      <c r="B79" s="1">
        <v>42576</v>
      </c>
      <c r="C79">
        <f t="shared" si="2"/>
        <v>3</v>
      </c>
    </row>
    <row r="80" spans="1:3" ht="14.25" customHeight="1" x14ac:dyDescent="0.25">
      <c r="A80" t="s">
        <v>172</v>
      </c>
      <c r="B80" s="1">
        <v>42579</v>
      </c>
      <c r="C80">
        <f t="shared" si="2"/>
        <v>13</v>
      </c>
    </row>
    <row r="81" spans="1:3" ht="14.25" customHeight="1" x14ac:dyDescent="0.25">
      <c r="A81" t="s">
        <v>173</v>
      </c>
      <c r="B81" s="1">
        <v>42592</v>
      </c>
      <c r="C81">
        <f t="shared" si="2"/>
        <v>0</v>
      </c>
    </row>
    <row r="82" spans="1:3" ht="14.25" customHeight="1" x14ac:dyDescent="0.25">
      <c r="A82" t="s">
        <v>174</v>
      </c>
      <c r="B82" s="1">
        <v>42592</v>
      </c>
      <c r="C82">
        <f t="shared" si="2"/>
        <v>92</v>
      </c>
    </row>
    <row r="83" spans="1:3" ht="14.25" customHeight="1" x14ac:dyDescent="0.25">
      <c r="A83" t="s">
        <v>175</v>
      </c>
      <c r="B83" s="1">
        <v>42684</v>
      </c>
      <c r="C83">
        <f t="shared" si="2"/>
        <v>253</v>
      </c>
    </row>
    <row r="84" spans="1:3" ht="14.25" customHeight="1" x14ac:dyDescent="0.25">
      <c r="A84" t="s">
        <v>176</v>
      </c>
      <c r="B84" s="1">
        <v>42937</v>
      </c>
      <c r="C84">
        <f t="shared" si="2"/>
        <v>6</v>
      </c>
    </row>
    <row r="85" spans="1:3" ht="14.25" customHeight="1" x14ac:dyDescent="0.25">
      <c r="A85" t="s">
        <v>177</v>
      </c>
      <c r="B85" s="1">
        <v>42943</v>
      </c>
      <c r="C85">
        <f t="shared" si="2"/>
        <v>34</v>
      </c>
    </row>
    <row r="86" spans="1:3" ht="14.25" customHeight="1" x14ac:dyDescent="0.25">
      <c r="A86" t="s">
        <v>178</v>
      </c>
      <c r="B86" s="1">
        <v>42977</v>
      </c>
    </row>
    <row r="87" spans="1:3" ht="14.25" customHeight="1" x14ac:dyDescent="0.25"/>
    <row r="88" spans="1:3" ht="14.25" customHeight="1" x14ac:dyDescent="0.25"/>
    <row r="89" spans="1:3" ht="14.25" customHeight="1" x14ac:dyDescent="0.25"/>
    <row r="90" spans="1:3" ht="14.25" customHeight="1" x14ac:dyDescent="0.25"/>
    <row r="91" spans="1:3" ht="14.25" customHeight="1" x14ac:dyDescent="0.25"/>
    <row r="92" spans="1:3" ht="14.25" customHeight="1" x14ac:dyDescent="0.25"/>
    <row r="93" spans="1:3" ht="14.25" customHeight="1" x14ac:dyDescent="0.25"/>
    <row r="94" spans="1:3" ht="14.25" customHeight="1" x14ac:dyDescent="0.25"/>
    <row r="95" spans="1:3" ht="14.25" customHeight="1" x14ac:dyDescent="0.25"/>
    <row r="96" spans="1:3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6"/>
  <sheetViews>
    <sheetView workbookViewId="0">
      <selection activeCell="H16" sqref="H16"/>
    </sheetView>
  </sheetViews>
  <sheetFormatPr defaultColWidth="14.42578125" defaultRowHeight="15" customHeight="1" x14ac:dyDescent="0.25"/>
  <cols>
    <col min="1" max="1" width="8.7109375" customWidth="1"/>
    <col min="2" max="2" width="15.42578125" customWidth="1"/>
    <col min="3" max="3" width="6.42578125" customWidth="1"/>
    <col min="4" max="19" width="8.7109375" customWidth="1"/>
  </cols>
  <sheetData>
    <row r="1" spans="1:3" ht="14.25" customHeight="1" x14ac:dyDescent="0.25">
      <c r="A1" s="5"/>
      <c r="B1" s="6"/>
      <c r="C1" s="5" t="s">
        <v>0</v>
      </c>
    </row>
    <row r="2" spans="1:3" ht="14.25" customHeight="1" x14ac:dyDescent="0.25">
      <c r="A2" s="5"/>
      <c r="B2" s="6" t="s">
        <v>1</v>
      </c>
      <c r="C2" s="5">
        <f>AVERAGE(C6:C38)</f>
        <v>177.03333333333333</v>
      </c>
    </row>
    <row r="3" spans="1:3" ht="14.25" customHeight="1" x14ac:dyDescent="0.25">
      <c r="A3" s="5"/>
      <c r="B3" s="6" t="s">
        <v>2</v>
      </c>
      <c r="C3" s="5">
        <f>MEDIAN(C6:C38)</f>
        <v>154</v>
      </c>
    </row>
    <row r="4" spans="1:3" ht="14.25" customHeight="1" x14ac:dyDescent="0.25">
      <c r="A4" s="5"/>
      <c r="B4" s="6" t="s">
        <v>3</v>
      </c>
      <c r="C4" s="5">
        <f>STDEV(C6:C38)</f>
        <v>150.00195017889357</v>
      </c>
    </row>
    <row r="5" spans="1:3" ht="14.25" customHeight="1" x14ac:dyDescent="0.25">
      <c r="A5" s="5" t="s">
        <v>4</v>
      </c>
      <c r="B5" s="6" t="s">
        <v>5</v>
      </c>
      <c r="C5" s="5"/>
    </row>
    <row r="6" spans="1:3" ht="14.25" customHeight="1" x14ac:dyDescent="0.25">
      <c r="A6" s="5" t="s">
        <v>10</v>
      </c>
      <c r="B6" s="6">
        <v>39748</v>
      </c>
      <c r="C6" s="5">
        <f>DATEDIF(B6,B7,"d")</f>
        <v>8</v>
      </c>
    </row>
    <row r="7" spans="1:3" ht="14.25" customHeight="1" x14ac:dyDescent="0.25">
      <c r="A7" s="5" t="s">
        <v>15</v>
      </c>
      <c r="B7" s="6">
        <v>39756</v>
      </c>
      <c r="C7" s="5">
        <f>DATEDIF(B7,B8,"d")</f>
        <v>101</v>
      </c>
    </row>
    <row r="8" spans="1:3" ht="14.25" customHeight="1" x14ac:dyDescent="0.25">
      <c r="A8" s="5" t="s">
        <v>17</v>
      </c>
      <c r="B8" s="6">
        <v>39857</v>
      </c>
      <c r="C8" s="5">
        <f>DATEDIF(B8,B9,"d")</f>
        <v>42</v>
      </c>
    </row>
    <row r="9" spans="1:3" ht="14.25" customHeight="1" x14ac:dyDescent="0.25">
      <c r="A9" s="5" t="s">
        <v>22</v>
      </c>
      <c r="B9" s="6">
        <v>39899</v>
      </c>
      <c r="C9" s="5">
        <f>DATEDIF(B9,B10,"d")</f>
        <v>232</v>
      </c>
    </row>
    <row r="10" spans="1:3" ht="14.25" customHeight="1" x14ac:dyDescent="0.25">
      <c r="A10" s="5" t="s">
        <v>24</v>
      </c>
      <c r="B10" s="6">
        <v>40131</v>
      </c>
      <c r="C10" s="5"/>
    </row>
    <row r="11" spans="1:3" ht="14.25" customHeight="1" x14ac:dyDescent="0.25">
      <c r="A11" s="5" t="s">
        <v>27</v>
      </c>
      <c r="B11" s="6">
        <v>40002</v>
      </c>
      <c r="C11" s="5">
        <f t="shared" ref="C11:C19" si="0">DATEDIF(B11,B12,"d")</f>
        <v>58</v>
      </c>
    </row>
    <row r="12" spans="1:3" ht="14.25" customHeight="1" x14ac:dyDescent="0.25">
      <c r="A12" s="5" t="s">
        <v>29</v>
      </c>
      <c r="B12" s="6">
        <v>40060</v>
      </c>
      <c r="C12" s="5">
        <f t="shared" si="0"/>
        <v>0</v>
      </c>
    </row>
    <row r="13" spans="1:3" ht="14.25" customHeight="1" x14ac:dyDescent="0.25">
      <c r="A13" s="5" t="s">
        <v>32</v>
      </c>
      <c r="B13" s="6">
        <v>40060</v>
      </c>
      <c r="C13" s="5">
        <f t="shared" si="0"/>
        <v>202</v>
      </c>
    </row>
    <row r="14" spans="1:3" ht="14.25" customHeight="1" x14ac:dyDescent="0.25">
      <c r="A14" s="5" t="s">
        <v>35</v>
      </c>
      <c r="B14" s="6">
        <v>40262</v>
      </c>
      <c r="C14" s="5">
        <f t="shared" si="0"/>
        <v>53</v>
      </c>
    </row>
    <row r="15" spans="1:3" ht="14.25" customHeight="1" x14ac:dyDescent="0.25">
      <c r="A15" s="5" t="s">
        <v>40</v>
      </c>
      <c r="B15" s="6">
        <v>40315</v>
      </c>
      <c r="C15" s="5">
        <f t="shared" si="0"/>
        <v>178</v>
      </c>
    </row>
    <row r="16" spans="1:3" ht="14.25" customHeight="1" x14ac:dyDescent="0.25">
      <c r="A16" s="5" t="s">
        <v>43</v>
      </c>
      <c r="B16" s="6">
        <v>40493</v>
      </c>
      <c r="C16" s="5">
        <f t="shared" si="0"/>
        <v>108</v>
      </c>
    </row>
    <row r="17" spans="1:3" ht="14.25" customHeight="1" x14ac:dyDescent="0.25">
      <c r="A17" s="5" t="s">
        <v>47</v>
      </c>
      <c r="B17" s="6">
        <v>40601</v>
      </c>
      <c r="C17" s="5">
        <f t="shared" si="0"/>
        <v>272</v>
      </c>
    </row>
    <row r="18" spans="1:3" ht="14.25" customHeight="1" x14ac:dyDescent="0.25">
      <c r="A18" s="5" t="s">
        <v>50</v>
      </c>
      <c r="B18" s="6">
        <v>40873</v>
      </c>
      <c r="C18" s="5">
        <f t="shared" si="0"/>
        <v>115</v>
      </c>
    </row>
    <row r="19" spans="1:3" ht="14.25" customHeight="1" x14ac:dyDescent="0.25">
      <c r="A19" s="5" t="s">
        <v>53</v>
      </c>
      <c r="B19" s="6">
        <v>40988</v>
      </c>
      <c r="C19" s="5">
        <f t="shared" si="0"/>
        <v>135</v>
      </c>
    </row>
    <row r="20" spans="1:3" ht="14.25" customHeight="1" x14ac:dyDescent="0.25">
      <c r="A20" s="5" t="s">
        <v>57</v>
      </c>
      <c r="B20" s="6">
        <v>41123</v>
      </c>
      <c r="C20" s="5"/>
    </row>
    <row r="21" spans="1:3" ht="14.25" customHeight="1" x14ac:dyDescent="0.25">
      <c r="A21" s="5" t="s">
        <v>58</v>
      </c>
      <c r="B21" s="6">
        <v>40869</v>
      </c>
      <c r="C21" s="5">
        <f t="shared" ref="C21:C33" si="1">DATEDIF(B21,B22,"d")</f>
        <v>24</v>
      </c>
    </row>
    <row r="22" spans="1:3" ht="14.25" customHeight="1" x14ac:dyDescent="0.25">
      <c r="A22" s="5" t="s">
        <v>66</v>
      </c>
      <c r="B22" s="6">
        <v>40893</v>
      </c>
      <c r="C22" s="5">
        <f t="shared" si="1"/>
        <v>13</v>
      </c>
    </row>
    <row r="23" spans="1:3" ht="14.25" customHeight="1" x14ac:dyDescent="0.25">
      <c r="A23" s="5" t="s">
        <v>70</v>
      </c>
      <c r="B23" s="6">
        <v>40906</v>
      </c>
      <c r="C23" s="5">
        <f t="shared" si="1"/>
        <v>46</v>
      </c>
    </row>
    <row r="24" spans="1:3" ht="14.25" customHeight="1" x14ac:dyDescent="0.25">
      <c r="A24" s="5" t="s">
        <v>73</v>
      </c>
      <c r="B24" s="6">
        <v>40952</v>
      </c>
      <c r="C24" s="5">
        <f t="shared" si="1"/>
        <v>223</v>
      </c>
    </row>
    <row r="25" spans="1:3" ht="14.25" customHeight="1" x14ac:dyDescent="0.25">
      <c r="A25" s="5" t="s">
        <v>75</v>
      </c>
      <c r="B25" s="6">
        <v>41175</v>
      </c>
      <c r="C25" s="5">
        <f t="shared" si="1"/>
        <v>56</v>
      </c>
    </row>
    <row r="26" spans="1:3" ht="14.25" customHeight="1" x14ac:dyDescent="0.25">
      <c r="A26" s="5" t="s">
        <v>78</v>
      </c>
      <c r="B26" s="6">
        <v>41231</v>
      </c>
      <c r="C26" s="5">
        <f t="shared" si="1"/>
        <v>477</v>
      </c>
    </row>
    <row r="27" spans="1:3" ht="14.25" customHeight="1" x14ac:dyDescent="0.25">
      <c r="A27" s="5" t="s">
        <v>83</v>
      </c>
      <c r="B27" s="6">
        <v>41708</v>
      </c>
      <c r="C27" s="5">
        <f t="shared" si="1"/>
        <v>621</v>
      </c>
    </row>
    <row r="28" spans="1:3" ht="14.25" customHeight="1" x14ac:dyDescent="0.25">
      <c r="A28" s="5" t="s">
        <v>208</v>
      </c>
      <c r="B28" s="6">
        <v>42329</v>
      </c>
      <c r="C28" s="5">
        <f t="shared" si="1"/>
        <v>91</v>
      </c>
    </row>
    <row r="29" spans="1:3" ht="14.25" customHeight="1" x14ac:dyDescent="0.25">
      <c r="A29" s="5" t="s">
        <v>86</v>
      </c>
      <c r="B29" s="6">
        <v>42420</v>
      </c>
      <c r="C29" s="5">
        <f t="shared" si="1"/>
        <v>196</v>
      </c>
    </row>
    <row r="30" spans="1:3" ht="14.25" customHeight="1" x14ac:dyDescent="0.25">
      <c r="A30" s="5" t="s">
        <v>89</v>
      </c>
      <c r="B30" s="6">
        <v>42616</v>
      </c>
      <c r="C30" s="5">
        <f t="shared" si="1"/>
        <v>208</v>
      </c>
    </row>
    <row r="31" spans="1:3" ht="14.25" customHeight="1" x14ac:dyDescent="0.25">
      <c r="A31" s="5" t="s">
        <v>92</v>
      </c>
      <c r="B31" s="6">
        <v>42824</v>
      </c>
      <c r="C31" s="5">
        <f t="shared" si="1"/>
        <v>224</v>
      </c>
    </row>
    <row r="32" spans="1:3" ht="14.25" customHeight="1" x14ac:dyDescent="0.25">
      <c r="A32" s="5" t="s">
        <v>96</v>
      </c>
      <c r="B32" s="6">
        <v>43048</v>
      </c>
      <c r="C32" s="5">
        <f t="shared" si="1"/>
        <v>173</v>
      </c>
    </row>
    <row r="33" spans="1:3" ht="14.25" customHeight="1" x14ac:dyDescent="0.25">
      <c r="A33" s="5" t="s">
        <v>98</v>
      </c>
      <c r="B33" s="6">
        <v>43221</v>
      </c>
      <c r="C33" s="5">
        <f t="shared" si="1"/>
        <v>75</v>
      </c>
    </row>
    <row r="34" spans="1:3" ht="14.25" customHeight="1" x14ac:dyDescent="0.25">
      <c r="A34" s="5" t="s">
        <v>102</v>
      </c>
      <c r="B34" s="6">
        <v>43296</v>
      </c>
      <c r="C34" s="5"/>
    </row>
    <row r="35" spans="1:3" ht="14.25" customHeight="1" x14ac:dyDescent="0.25">
      <c r="A35" s="5" t="s">
        <v>107</v>
      </c>
      <c r="B35" s="6">
        <v>41857</v>
      </c>
      <c r="C35" s="5">
        <f>DATEDIF(B35,B36,"d")</f>
        <v>390</v>
      </c>
    </row>
    <row r="36" spans="1:3" ht="14.25" customHeight="1" x14ac:dyDescent="0.25">
      <c r="A36" s="5" t="s">
        <v>116</v>
      </c>
      <c r="B36" s="6">
        <v>42247</v>
      </c>
      <c r="C36" s="5">
        <f>DATEDIF(B36,B37,"d")</f>
        <v>324</v>
      </c>
    </row>
    <row r="37" spans="1:3" ht="14.25" customHeight="1" x14ac:dyDescent="0.25">
      <c r="A37" s="5" t="s">
        <v>119</v>
      </c>
      <c r="B37" s="6">
        <v>42571</v>
      </c>
      <c r="C37" s="5">
        <f>DATEDIF(B37,B38,"d")</f>
        <v>271</v>
      </c>
    </row>
    <row r="38" spans="1:3" ht="14.25" customHeight="1" x14ac:dyDescent="0.25">
      <c r="A38" s="5" t="s">
        <v>121</v>
      </c>
      <c r="B38" s="6">
        <v>42842</v>
      </c>
      <c r="C38" s="5">
        <f>DATEDIF(B38,B39,"d")</f>
        <v>395</v>
      </c>
    </row>
    <row r="39" spans="1:3" ht="14.25" customHeight="1" x14ac:dyDescent="0.25">
      <c r="A39" s="5" t="s">
        <v>124</v>
      </c>
      <c r="B39" s="6">
        <v>43237</v>
      </c>
      <c r="C39" s="5"/>
    </row>
    <row r="40" spans="1:3" ht="14.25" customHeight="1" x14ac:dyDescent="0.25">
      <c r="B40" s="1"/>
    </row>
    <row r="41" spans="1:3" ht="14.25" customHeight="1" x14ac:dyDescent="0.25">
      <c r="B41" s="1"/>
    </row>
    <row r="42" spans="1:3" ht="14.25" customHeight="1" x14ac:dyDescent="0.25">
      <c r="B42" s="1"/>
    </row>
    <row r="43" spans="1:3" ht="14.25" customHeight="1" x14ac:dyDescent="0.25">
      <c r="B43" s="1"/>
    </row>
    <row r="44" spans="1:3" ht="14.25" customHeight="1" x14ac:dyDescent="0.25">
      <c r="B44" s="1"/>
    </row>
    <row r="45" spans="1:3" ht="14.25" customHeight="1" x14ac:dyDescent="0.25">
      <c r="B45" s="1"/>
    </row>
    <row r="46" spans="1:3" ht="14.25" customHeight="1" x14ac:dyDescent="0.25">
      <c r="B46" s="1"/>
    </row>
    <row r="47" spans="1:3" ht="14.25" customHeight="1" x14ac:dyDescent="0.25">
      <c r="B47" s="1"/>
    </row>
    <row r="48" spans="1:3" ht="14.25" customHeight="1" x14ac:dyDescent="0.25">
      <c r="B48" s="1"/>
    </row>
    <row r="49" spans="2:2" ht="14.25" customHeight="1" x14ac:dyDescent="0.25">
      <c r="B49" s="1"/>
    </row>
    <row r="50" spans="2:2" ht="14.25" customHeight="1" x14ac:dyDescent="0.25">
      <c r="B50" s="1"/>
    </row>
    <row r="51" spans="2:2" ht="14.25" customHeight="1" x14ac:dyDescent="0.25">
      <c r="B51" s="1"/>
    </row>
    <row r="52" spans="2:2" ht="14.25" customHeight="1" x14ac:dyDescent="0.25">
      <c r="B52" s="1"/>
    </row>
    <row r="53" spans="2:2" ht="14.25" customHeight="1" x14ac:dyDescent="0.25">
      <c r="B53" s="1"/>
    </row>
    <row r="54" spans="2:2" ht="14.25" customHeight="1" x14ac:dyDescent="0.25">
      <c r="B54" s="1"/>
    </row>
    <row r="55" spans="2:2" ht="14.25" customHeight="1" x14ac:dyDescent="0.25">
      <c r="B55" s="1"/>
    </row>
    <row r="56" spans="2:2" ht="14.25" customHeight="1" x14ac:dyDescent="0.25">
      <c r="B56" s="1"/>
    </row>
    <row r="57" spans="2:2" ht="14.25" customHeight="1" x14ac:dyDescent="0.25">
      <c r="B57" s="1"/>
    </row>
    <row r="58" spans="2:2" ht="14.25" customHeight="1" x14ac:dyDescent="0.25">
      <c r="B58" s="1"/>
    </row>
    <row r="59" spans="2:2" ht="14.25" customHeight="1" x14ac:dyDescent="0.25">
      <c r="B59" s="1"/>
    </row>
    <row r="60" spans="2:2" ht="14.25" customHeight="1" x14ac:dyDescent="0.25">
      <c r="B60" s="1"/>
    </row>
    <row r="61" spans="2:2" ht="14.25" customHeight="1" x14ac:dyDescent="0.25">
      <c r="B61" s="1"/>
    </row>
    <row r="62" spans="2:2" ht="14.25" customHeight="1" x14ac:dyDescent="0.25">
      <c r="B62" s="1"/>
    </row>
    <row r="63" spans="2:2" ht="14.25" customHeight="1" x14ac:dyDescent="0.25">
      <c r="B63" s="1"/>
    </row>
    <row r="64" spans="2:2" ht="14.25" customHeight="1" x14ac:dyDescent="0.25">
      <c r="B64" s="1"/>
    </row>
    <row r="65" spans="2:2" ht="14.25" customHeight="1" x14ac:dyDescent="0.25">
      <c r="B65" s="1"/>
    </row>
    <row r="66" spans="2:2" ht="14.25" customHeight="1" x14ac:dyDescent="0.25">
      <c r="B66" s="1"/>
    </row>
    <row r="67" spans="2:2" ht="14.25" customHeight="1" x14ac:dyDescent="0.25">
      <c r="B67" s="1"/>
    </row>
    <row r="68" spans="2:2" ht="14.25" customHeight="1" x14ac:dyDescent="0.25">
      <c r="B68" s="1"/>
    </row>
    <row r="69" spans="2:2" ht="14.25" customHeight="1" x14ac:dyDescent="0.25">
      <c r="B69" s="1"/>
    </row>
    <row r="70" spans="2:2" ht="14.25" customHeight="1" x14ac:dyDescent="0.25">
      <c r="B70" s="1"/>
    </row>
    <row r="71" spans="2:2" ht="14.25" customHeight="1" x14ac:dyDescent="0.25">
      <c r="B71" s="1"/>
    </row>
    <row r="72" spans="2:2" ht="14.25" customHeight="1" x14ac:dyDescent="0.25">
      <c r="B72" s="1"/>
    </row>
    <row r="73" spans="2:2" ht="14.25" customHeight="1" x14ac:dyDescent="0.25">
      <c r="B73" s="1"/>
    </row>
    <row r="74" spans="2:2" ht="14.25" customHeight="1" x14ac:dyDescent="0.25">
      <c r="B74" s="1"/>
    </row>
    <row r="75" spans="2:2" ht="14.25" customHeight="1" x14ac:dyDescent="0.25">
      <c r="B75" s="1"/>
    </row>
    <row r="76" spans="2:2" ht="14.25" customHeight="1" x14ac:dyDescent="0.25">
      <c r="B76" s="1"/>
    </row>
    <row r="77" spans="2:2" ht="14.25" customHeight="1" x14ac:dyDescent="0.25">
      <c r="B77" s="1"/>
    </row>
    <row r="78" spans="2:2" ht="14.25" customHeight="1" x14ac:dyDescent="0.25">
      <c r="B78" s="1"/>
    </row>
    <row r="79" spans="2:2" ht="14.25" customHeight="1" x14ac:dyDescent="0.25">
      <c r="B79" s="1"/>
    </row>
    <row r="80" spans="2:2" ht="14.25" customHeight="1" x14ac:dyDescent="0.25">
      <c r="B80" s="1"/>
    </row>
    <row r="81" spans="2:2" ht="14.25" customHeight="1" x14ac:dyDescent="0.25">
      <c r="B81" s="1"/>
    </row>
    <row r="82" spans="2:2" ht="14.25" customHeight="1" x14ac:dyDescent="0.25">
      <c r="B82" s="1"/>
    </row>
    <row r="83" spans="2:2" ht="14.25" customHeight="1" x14ac:dyDescent="0.25">
      <c r="B83" s="1"/>
    </row>
    <row r="84" spans="2:2" ht="14.25" customHeight="1" x14ac:dyDescent="0.25">
      <c r="B84" s="1"/>
    </row>
    <row r="85" spans="2:2" ht="14.25" customHeight="1" x14ac:dyDescent="0.25">
      <c r="B85" s="1"/>
    </row>
    <row r="86" spans="2:2" ht="14.25" customHeight="1" x14ac:dyDescent="0.25">
      <c r="B86" s="1"/>
    </row>
    <row r="87" spans="2:2" ht="14.25" customHeight="1" x14ac:dyDescent="0.25">
      <c r="B87" s="1"/>
    </row>
    <row r="88" spans="2:2" ht="14.25" customHeight="1" x14ac:dyDescent="0.25">
      <c r="B88" s="1"/>
    </row>
    <row r="89" spans="2:2" ht="14.25" customHeight="1" x14ac:dyDescent="0.25">
      <c r="B89" s="1"/>
    </row>
    <row r="90" spans="2:2" ht="14.25" customHeight="1" x14ac:dyDescent="0.25">
      <c r="B90" s="1"/>
    </row>
    <row r="91" spans="2:2" ht="14.25" customHeight="1" x14ac:dyDescent="0.25">
      <c r="B91" s="1"/>
    </row>
    <row r="92" spans="2:2" ht="14.25" customHeight="1" x14ac:dyDescent="0.25">
      <c r="B92" s="1"/>
    </row>
    <row r="93" spans="2:2" ht="14.25" customHeight="1" x14ac:dyDescent="0.25">
      <c r="B93" s="1"/>
    </row>
    <row r="94" spans="2:2" ht="14.25" customHeight="1" x14ac:dyDescent="0.25">
      <c r="B94" s="1"/>
    </row>
    <row r="95" spans="2:2" ht="14.25" customHeight="1" x14ac:dyDescent="0.25">
      <c r="B95" s="1"/>
    </row>
    <row r="96" spans="2:2" ht="14.25" customHeight="1" x14ac:dyDescent="0.25">
      <c r="B96" s="1"/>
    </row>
    <row r="97" spans="2:2" ht="14.25" customHeight="1" x14ac:dyDescent="0.25">
      <c r="B97" s="1"/>
    </row>
    <row r="98" spans="2:2" ht="14.25" customHeight="1" x14ac:dyDescent="0.25">
      <c r="B98" s="1"/>
    </row>
    <row r="99" spans="2:2" ht="14.25" customHeight="1" x14ac:dyDescent="0.25">
      <c r="B99" s="1"/>
    </row>
    <row r="100" spans="2:2" ht="14.25" customHeight="1" x14ac:dyDescent="0.25">
      <c r="B100" s="1"/>
    </row>
    <row r="101" spans="2:2" ht="14.25" customHeight="1" x14ac:dyDescent="0.25">
      <c r="B101" s="1"/>
    </row>
    <row r="102" spans="2:2" ht="14.25" customHeight="1" x14ac:dyDescent="0.25">
      <c r="B102" s="1"/>
    </row>
    <row r="103" spans="2:2" ht="14.25" customHeight="1" x14ac:dyDescent="0.25">
      <c r="B103" s="1"/>
    </row>
    <row r="104" spans="2:2" ht="14.25" customHeight="1" x14ac:dyDescent="0.25">
      <c r="B104" s="1"/>
    </row>
    <row r="105" spans="2:2" ht="14.25" customHeight="1" x14ac:dyDescent="0.25">
      <c r="B105" s="1"/>
    </row>
    <row r="106" spans="2:2" ht="14.25" customHeight="1" x14ac:dyDescent="0.25">
      <c r="B106" s="1"/>
    </row>
    <row r="107" spans="2:2" ht="14.25" customHeight="1" x14ac:dyDescent="0.25">
      <c r="B107" s="1"/>
    </row>
    <row r="108" spans="2:2" ht="14.25" customHeight="1" x14ac:dyDescent="0.25">
      <c r="B108" s="1"/>
    </row>
    <row r="109" spans="2:2" ht="14.25" customHeight="1" x14ac:dyDescent="0.25">
      <c r="B109" s="1"/>
    </row>
    <row r="110" spans="2:2" ht="14.25" customHeight="1" x14ac:dyDescent="0.25">
      <c r="B110" s="1"/>
    </row>
    <row r="111" spans="2:2" ht="14.25" customHeight="1" x14ac:dyDescent="0.25">
      <c r="B111" s="1"/>
    </row>
    <row r="112" spans="2:2" ht="14.25" customHeight="1" x14ac:dyDescent="0.25">
      <c r="B112" s="1"/>
    </row>
    <row r="113" spans="2:2" ht="14.25" customHeight="1" x14ac:dyDescent="0.25">
      <c r="B113" s="1"/>
    </row>
    <row r="114" spans="2:2" ht="14.25" customHeight="1" x14ac:dyDescent="0.25">
      <c r="B114" s="1"/>
    </row>
    <row r="115" spans="2:2" ht="14.25" customHeight="1" x14ac:dyDescent="0.25">
      <c r="B115" s="1"/>
    </row>
    <row r="116" spans="2:2" ht="14.25" customHeight="1" x14ac:dyDescent="0.25">
      <c r="B116" s="1"/>
    </row>
    <row r="117" spans="2:2" ht="14.25" customHeight="1" x14ac:dyDescent="0.25">
      <c r="B117" s="1"/>
    </row>
    <row r="118" spans="2:2" ht="14.25" customHeight="1" x14ac:dyDescent="0.25">
      <c r="B118" s="1"/>
    </row>
    <row r="119" spans="2:2" ht="14.25" customHeight="1" x14ac:dyDescent="0.25">
      <c r="B119" s="1"/>
    </row>
    <row r="120" spans="2:2" ht="14.25" customHeight="1" x14ac:dyDescent="0.25">
      <c r="B120" s="1"/>
    </row>
    <row r="121" spans="2:2" ht="14.25" customHeight="1" x14ac:dyDescent="0.25">
      <c r="B121" s="1"/>
    </row>
    <row r="122" spans="2:2" ht="14.25" customHeight="1" x14ac:dyDescent="0.25">
      <c r="B122" s="1"/>
    </row>
    <row r="123" spans="2:2" ht="14.25" customHeight="1" x14ac:dyDescent="0.25">
      <c r="B123" s="1"/>
    </row>
    <row r="124" spans="2:2" ht="14.25" customHeight="1" x14ac:dyDescent="0.25">
      <c r="B124" s="1"/>
    </row>
    <row r="125" spans="2:2" ht="14.25" customHeight="1" x14ac:dyDescent="0.25">
      <c r="B125" s="1"/>
    </row>
    <row r="126" spans="2:2" ht="14.25" customHeight="1" x14ac:dyDescent="0.25">
      <c r="B126" s="1"/>
    </row>
    <row r="127" spans="2:2" ht="14.25" customHeight="1" x14ac:dyDescent="0.25">
      <c r="B127" s="1"/>
    </row>
    <row r="128" spans="2:2" ht="14.25" customHeight="1" x14ac:dyDescent="0.25">
      <c r="B128" s="1"/>
    </row>
    <row r="129" spans="2:2" ht="14.25" customHeight="1" x14ac:dyDescent="0.25">
      <c r="B129" s="1"/>
    </row>
    <row r="130" spans="2:2" ht="14.25" customHeight="1" x14ac:dyDescent="0.25">
      <c r="B130" s="1"/>
    </row>
    <row r="131" spans="2:2" ht="14.25" customHeight="1" x14ac:dyDescent="0.25">
      <c r="B131" s="1"/>
    </row>
    <row r="132" spans="2:2" ht="14.25" customHeight="1" x14ac:dyDescent="0.25">
      <c r="B132" s="1"/>
    </row>
    <row r="133" spans="2:2" ht="14.25" customHeight="1" x14ac:dyDescent="0.25">
      <c r="B133" s="1"/>
    </row>
    <row r="134" spans="2:2" ht="14.25" customHeight="1" x14ac:dyDescent="0.25">
      <c r="B134" s="1"/>
    </row>
    <row r="135" spans="2:2" ht="14.25" customHeight="1" x14ac:dyDescent="0.25">
      <c r="B135" s="1"/>
    </row>
    <row r="136" spans="2:2" ht="14.25" customHeight="1" x14ac:dyDescent="0.25">
      <c r="B136" s="1"/>
    </row>
    <row r="137" spans="2:2" ht="14.25" customHeight="1" x14ac:dyDescent="0.25">
      <c r="B137" s="1"/>
    </row>
    <row r="138" spans="2:2" ht="14.25" customHeight="1" x14ac:dyDescent="0.25">
      <c r="B138" s="1"/>
    </row>
    <row r="139" spans="2:2" ht="14.25" customHeight="1" x14ac:dyDescent="0.25">
      <c r="B139" s="1"/>
    </row>
    <row r="140" spans="2:2" ht="14.25" customHeight="1" x14ac:dyDescent="0.25">
      <c r="B140" s="1"/>
    </row>
    <row r="141" spans="2:2" ht="14.25" customHeight="1" x14ac:dyDescent="0.25">
      <c r="B141" s="1"/>
    </row>
    <row r="142" spans="2:2" ht="14.25" customHeight="1" x14ac:dyDescent="0.25">
      <c r="B142" s="1"/>
    </row>
    <row r="143" spans="2:2" ht="14.25" customHeight="1" x14ac:dyDescent="0.25">
      <c r="B143" s="1"/>
    </row>
    <row r="144" spans="2:2" ht="14.25" customHeight="1" x14ac:dyDescent="0.25">
      <c r="B144" s="1"/>
    </row>
    <row r="145" spans="2:2" ht="14.25" customHeight="1" x14ac:dyDescent="0.25">
      <c r="B145" s="1"/>
    </row>
    <row r="146" spans="2:2" ht="14.25" customHeight="1" x14ac:dyDescent="0.25">
      <c r="B146" s="1"/>
    </row>
    <row r="147" spans="2:2" ht="14.25" customHeight="1" x14ac:dyDescent="0.25">
      <c r="B147" s="1"/>
    </row>
    <row r="148" spans="2:2" ht="14.25" customHeight="1" x14ac:dyDescent="0.25">
      <c r="B148" s="1"/>
    </row>
    <row r="149" spans="2:2" ht="14.25" customHeight="1" x14ac:dyDescent="0.25">
      <c r="B149" s="1"/>
    </row>
    <row r="150" spans="2:2" ht="14.25" customHeight="1" x14ac:dyDescent="0.25">
      <c r="B150" s="1"/>
    </row>
    <row r="151" spans="2:2" ht="14.25" customHeight="1" x14ac:dyDescent="0.25">
      <c r="B151" s="1"/>
    </row>
    <row r="152" spans="2:2" ht="14.25" customHeight="1" x14ac:dyDescent="0.25">
      <c r="B152" s="1"/>
    </row>
    <row r="153" spans="2:2" ht="14.25" customHeight="1" x14ac:dyDescent="0.25">
      <c r="B153" s="1"/>
    </row>
    <row r="154" spans="2:2" ht="14.25" customHeight="1" x14ac:dyDescent="0.25">
      <c r="B154" s="1"/>
    </row>
    <row r="155" spans="2:2" ht="14.25" customHeight="1" x14ac:dyDescent="0.25">
      <c r="B155" s="1"/>
    </row>
    <row r="156" spans="2:2" ht="14.25" customHeight="1" x14ac:dyDescent="0.25">
      <c r="B156" s="1"/>
    </row>
    <row r="157" spans="2:2" ht="14.25" customHeight="1" x14ac:dyDescent="0.25">
      <c r="B157" s="1"/>
    </row>
    <row r="158" spans="2:2" ht="14.25" customHeight="1" x14ac:dyDescent="0.25">
      <c r="B158" s="1"/>
    </row>
    <row r="159" spans="2:2" ht="14.25" customHeight="1" x14ac:dyDescent="0.25">
      <c r="B159" s="1"/>
    </row>
    <row r="160" spans="2:2" ht="14.25" customHeight="1" x14ac:dyDescent="0.25">
      <c r="B160" s="1"/>
    </row>
    <row r="161" spans="2:2" ht="14.25" customHeight="1" x14ac:dyDescent="0.25">
      <c r="B161" s="1"/>
    </row>
    <row r="162" spans="2:2" ht="14.25" customHeight="1" x14ac:dyDescent="0.25">
      <c r="B162" s="1"/>
    </row>
    <row r="163" spans="2:2" ht="14.25" customHeight="1" x14ac:dyDescent="0.25">
      <c r="B163" s="1"/>
    </row>
    <row r="164" spans="2:2" ht="14.25" customHeight="1" x14ac:dyDescent="0.25">
      <c r="B164" s="1"/>
    </row>
    <row r="165" spans="2:2" ht="14.25" customHeight="1" x14ac:dyDescent="0.25">
      <c r="B165" s="1"/>
    </row>
    <row r="166" spans="2:2" ht="14.25" customHeight="1" x14ac:dyDescent="0.25">
      <c r="B166" s="1"/>
    </row>
    <row r="167" spans="2:2" ht="14.25" customHeight="1" x14ac:dyDescent="0.25">
      <c r="B167" s="1"/>
    </row>
    <row r="168" spans="2:2" ht="14.25" customHeight="1" x14ac:dyDescent="0.25">
      <c r="B168" s="1"/>
    </row>
    <row r="169" spans="2:2" ht="14.25" customHeight="1" x14ac:dyDescent="0.25">
      <c r="B169" s="1"/>
    </row>
    <row r="170" spans="2:2" ht="14.25" customHeight="1" x14ac:dyDescent="0.25">
      <c r="B170" s="1"/>
    </row>
    <row r="171" spans="2:2" ht="14.25" customHeight="1" x14ac:dyDescent="0.25">
      <c r="B171" s="1"/>
    </row>
    <row r="172" spans="2:2" ht="14.25" customHeight="1" x14ac:dyDescent="0.25">
      <c r="B172" s="1"/>
    </row>
    <row r="173" spans="2:2" ht="14.25" customHeight="1" x14ac:dyDescent="0.25">
      <c r="B173" s="1"/>
    </row>
    <row r="174" spans="2:2" ht="14.25" customHeight="1" x14ac:dyDescent="0.25">
      <c r="B174" s="1"/>
    </row>
    <row r="175" spans="2:2" ht="14.25" customHeight="1" x14ac:dyDescent="0.25">
      <c r="B175" s="1"/>
    </row>
    <row r="176" spans="2:2" ht="14.25" customHeight="1" x14ac:dyDescent="0.25">
      <c r="B176" s="1"/>
    </row>
    <row r="177" spans="2:2" ht="14.25" customHeight="1" x14ac:dyDescent="0.25">
      <c r="B177" s="1"/>
    </row>
    <row r="178" spans="2:2" ht="14.25" customHeight="1" x14ac:dyDescent="0.25">
      <c r="B178" s="1"/>
    </row>
    <row r="179" spans="2:2" ht="14.25" customHeight="1" x14ac:dyDescent="0.25">
      <c r="B179" s="1"/>
    </row>
    <row r="180" spans="2:2" ht="14.25" customHeight="1" x14ac:dyDescent="0.25">
      <c r="B180" s="1"/>
    </row>
    <row r="181" spans="2:2" ht="14.25" customHeight="1" x14ac:dyDescent="0.25">
      <c r="B181" s="1"/>
    </row>
    <row r="182" spans="2:2" ht="14.25" customHeight="1" x14ac:dyDescent="0.25">
      <c r="B182" s="1"/>
    </row>
    <row r="183" spans="2:2" ht="14.25" customHeight="1" x14ac:dyDescent="0.25">
      <c r="B183" s="1"/>
    </row>
    <row r="184" spans="2:2" ht="14.25" customHeight="1" x14ac:dyDescent="0.25">
      <c r="B184" s="1"/>
    </row>
    <row r="185" spans="2:2" ht="14.25" customHeight="1" x14ac:dyDescent="0.25">
      <c r="B185" s="1"/>
    </row>
    <row r="186" spans="2:2" ht="14.25" customHeight="1" x14ac:dyDescent="0.25">
      <c r="B186" s="1"/>
    </row>
    <row r="187" spans="2:2" ht="14.25" customHeight="1" x14ac:dyDescent="0.25">
      <c r="B187" s="1"/>
    </row>
    <row r="188" spans="2:2" ht="14.25" customHeight="1" x14ac:dyDescent="0.25">
      <c r="B188" s="1"/>
    </row>
    <row r="189" spans="2:2" ht="14.25" customHeight="1" x14ac:dyDescent="0.25">
      <c r="B189" s="1"/>
    </row>
    <row r="190" spans="2:2" ht="14.25" customHeight="1" x14ac:dyDescent="0.25">
      <c r="B190" s="1"/>
    </row>
    <row r="191" spans="2:2" ht="14.25" customHeight="1" x14ac:dyDescent="0.25">
      <c r="B191" s="1"/>
    </row>
    <row r="192" spans="2:2" ht="14.25" customHeight="1" x14ac:dyDescent="0.25">
      <c r="B192" s="1"/>
    </row>
    <row r="193" spans="2:2" ht="14.25" customHeight="1" x14ac:dyDescent="0.25">
      <c r="B193" s="1"/>
    </row>
    <row r="194" spans="2:2" ht="14.25" customHeight="1" x14ac:dyDescent="0.25">
      <c r="B194" s="1"/>
    </row>
    <row r="195" spans="2:2" ht="14.25" customHeight="1" x14ac:dyDescent="0.25">
      <c r="B195" s="1"/>
    </row>
    <row r="196" spans="2:2" ht="14.25" customHeight="1" x14ac:dyDescent="0.25">
      <c r="B196" s="1"/>
    </row>
    <row r="197" spans="2:2" ht="14.25" customHeight="1" x14ac:dyDescent="0.25">
      <c r="B197" s="1"/>
    </row>
    <row r="198" spans="2:2" ht="14.25" customHeight="1" x14ac:dyDescent="0.25">
      <c r="B198" s="1"/>
    </row>
    <row r="199" spans="2:2" ht="14.25" customHeight="1" x14ac:dyDescent="0.25">
      <c r="B199" s="1"/>
    </row>
    <row r="200" spans="2:2" ht="14.25" customHeight="1" x14ac:dyDescent="0.25">
      <c r="B200" s="1"/>
    </row>
    <row r="201" spans="2:2" ht="14.25" customHeight="1" x14ac:dyDescent="0.25">
      <c r="B201" s="1"/>
    </row>
    <row r="202" spans="2:2" ht="14.25" customHeight="1" x14ac:dyDescent="0.25">
      <c r="B202" s="1"/>
    </row>
    <row r="203" spans="2:2" ht="14.25" customHeight="1" x14ac:dyDescent="0.25">
      <c r="B203" s="1"/>
    </row>
    <row r="204" spans="2:2" ht="14.25" customHeight="1" x14ac:dyDescent="0.25">
      <c r="B204" s="1"/>
    </row>
    <row r="205" spans="2:2" ht="14.25" customHeight="1" x14ac:dyDescent="0.25">
      <c r="B205" s="1"/>
    </row>
    <row r="206" spans="2:2" ht="14.25" customHeight="1" x14ac:dyDescent="0.25">
      <c r="B206" s="1"/>
    </row>
    <row r="207" spans="2:2" ht="14.25" customHeight="1" x14ac:dyDescent="0.25">
      <c r="B207" s="1"/>
    </row>
    <row r="208" spans="2:2" ht="14.25" customHeight="1" x14ac:dyDescent="0.25">
      <c r="B208" s="1"/>
    </row>
    <row r="209" spans="2:2" ht="14.25" customHeight="1" x14ac:dyDescent="0.25">
      <c r="B209" s="1"/>
    </row>
    <row r="210" spans="2:2" ht="14.25" customHeight="1" x14ac:dyDescent="0.25">
      <c r="B210" s="1"/>
    </row>
    <row r="211" spans="2:2" ht="14.25" customHeight="1" x14ac:dyDescent="0.25">
      <c r="B211" s="1"/>
    </row>
    <row r="212" spans="2:2" ht="14.25" customHeight="1" x14ac:dyDescent="0.25">
      <c r="B212" s="1"/>
    </row>
    <row r="213" spans="2:2" ht="14.25" customHeight="1" x14ac:dyDescent="0.25">
      <c r="B213" s="1"/>
    </row>
    <row r="214" spans="2:2" ht="14.25" customHeight="1" x14ac:dyDescent="0.25">
      <c r="B214" s="1"/>
    </row>
    <row r="215" spans="2:2" ht="14.25" customHeight="1" x14ac:dyDescent="0.25">
      <c r="B215" s="1"/>
    </row>
    <row r="216" spans="2:2" ht="14.25" customHeight="1" x14ac:dyDescent="0.25">
      <c r="B216" s="1"/>
    </row>
    <row r="217" spans="2:2" ht="14.25" customHeight="1" x14ac:dyDescent="0.25">
      <c r="B217" s="1"/>
    </row>
    <row r="218" spans="2:2" ht="14.25" customHeight="1" x14ac:dyDescent="0.25">
      <c r="B218" s="1"/>
    </row>
    <row r="219" spans="2:2" ht="14.25" customHeight="1" x14ac:dyDescent="0.25">
      <c r="B219" s="1"/>
    </row>
    <row r="220" spans="2:2" ht="14.25" customHeight="1" x14ac:dyDescent="0.25">
      <c r="B220" s="1"/>
    </row>
    <row r="221" spans="2:2" ht="14.25" customHeight="1" x14ac:dyDescent="0.25">
      <c r="B221" s="1"/>
    </row>
    <row r="222" spans="2:2" ht="14.25" customHeight="1" x14ac:dyDescent="0.25">
      <c r="B222" s="1"/>
    </row>
    <row r="223" spans="2:2" ht="14.25" customHeight="1" x14ac:dyDescent="0.25">
      <c r="B223" s="1"/>
    </row>
    <row r="224" spans="2:2" ht="14.25" customHeight="1" x14ac:dyDescent="0.25">
      <c r="B224" s="1"/>
    </row>
    <row r="225" spans="2:2" ht="14.25" customHeight="1" x14ac:dyDescent="0.25">
      <c r="B225" s="1"/>
    </row>
    <row r="226" spans="2:2" ht="14.25" customHeight="1" x14ac:dyDescent="0.25">
      <c r="B226" s="1"/>
    </row>
    <row r="227" spans="2:2" ht="14.25" customHeight="1" x14ac:dyDescent="0.25">
      <c r="B227" s="1"/>
    </row>
    <row r="228" spans="2:2" ht="14.25" customHeight="1" x14ac:dyDescent="0.25">
      <c r="B228" s="1"/>
    </row>
    <row r="229" spans="2:2" ht="14.25" customHeight="1" x14ac:dyDescent="0.25">
      <c r="B229" s="1"/>
    </row>
    <row r="230" spans="2:2" ht="14.25" customHeight="1" x14ac:dyDescent="0.25">
      <c r="B230" s="1"/>
    </row>
    <row r="231" spans="2:2" ht="14.25" customHeight="1" x14ac:dyDescent="0.25">
      <c r="B231" s="1"/>
    </row>
    <row r="232" spans="2:2" ht="14.25" customHeight="1" x14ac:dyDescent="0.25">
      <c r="B232" s="1"/>
    </row>
    <row r="233" spans="2:2" ht="14.25" customHeight="1" x14ac:dyDescent="0.25">
      <c r="B233" s="1"/>
    </row>
    <row r="234" spans="2:2" ht="14.25" customHeight="1" x14ac:dyDescent="0.25">
      <c r="B234" s="1"/>
    </row>
    <row r="235" spans="2:2" ht="14.25" customHeight="1" x14ac:dyDescent="0.25">
      <c r="B235" s="1"/>
    </row>
    <row r="236" spans="2:2" ht="14.25" customHeight="1" x14ac:dyDescent="0.25">
      <c r="B236" s="1"/>
    </row>
    <row r="237" spans="2:2" ht="14.25" customHeight="1" x14ac:dyDescent="0.25">
      <c r="B237" s="1"/>
    </row>
    <row r="238" spans="2:2" ht="14.25" customHeight="1" x14ac:dyDescent="0.25">
      <c r="B238" s="1"/>
    </row>
    <row r="239" spans="2:2" ht="14.25" customHeight="1" x14ac:dyDescent="0.25">
      <c r="B239" s="1"/>
    </row>
    <row r="240" spans="2:2" ht="14.25" customHeight="1" x14ac:dyDescent="0.25">
      <c r="B240" s="1"/>
    </row>
    <row r="241" spans="2:2" ht="14.25" customHeight="1" x14ac:dyDescent="0.25">
      <c r="B241" s="1"/>
    </row>
    <row r="242" spans="2:2" ht="14.25" customHeight="1" x14ac:dyDescent="0.25">
      <c r="B242" s="1"/>
    </row>
    <row r="243" spans="2:2" ht="14.25" customHeight="1" x14ac:dyDescent="0.25">
      <c r="B243" s="1"/>
    </row>
    <row r="244" spans="2:2" ht="14.25" customHeight="1" x14ac:dyDescent="0.25">
      <c r="B244" s="1"/>
    </row>
    <row r="245" spans="2:2" ht="14.25" customHeight="1" x14ac:dyDescent="0.25">
      <c r="B245" s="1"/>
    </row>
    <row r="246" spans="2:2" ht="14.25" customHeight="1" x14ac:dyDescent="0.25">
      <c r="B246" s="1"/>
    </row>
    <row r="247" spans="2:2" ht="14.25" customHeight="1" x14ac:dyDescent="0.25">
      <c r="B247" s="1"/>
    </row>
    <row r="248" spans="2:2" ht="14.25" customHeight="1" x14ac:dyDescent="0.25">
      <c r="B248" s="1"/>
    </row>
    <row r="249" spans="2:2" ht="14.25" customHeight="1" x14ac:dyDescent="0.25">
      <c r="B249" s="1"/>
    </row>
    <row r="250" spans="2:2" ht="14.25" customHeight="1" x14ac:dyDescent="0.25">
      <c r="B250" s="1"/>
    </row>
    <row r="251" spans="2:2" ht="14.25" customHeight="1" x14ac:dyDescent="0.25">
      <c r="B251" s="1"/>
    </row>
    <row r="252" spans="2:2" ht="14.25" customHeight="1" x14ac:dyDescent="0.25">
      <c r="B252" s="1"/>
    </row>
    <row r="253" spans="2:2" ht="14.25" customHeight="1" x14ac:dyDescent="0.25">
      <c r="B253" s="1"/>
    </row>
    <row r="254" spans="2:2" ht="14.25" customHeight="1" x14ac:dyDescent="0.25">
      <c r="B254" s="1"/>
    </row>
    <row r="255" spans="2:2" ht="14.25" customHeight="1" x14ac:dyDescent="0.25">
      <c r="B255" s="1"/>
    </row>
    <row r="256" spans="2:2" ht="14.25" customHeight="1" x14ac:dyDescent="0.25">
      <c r="B256" s="1"/>
    </row>
    <row r="257" spans="2:2" ht="14.25" customHeight="1" x14ac:dyDescent="0.25">
      <c r="B257" s="1"/>
    </row>
    <row r="258" spans="2:2" ht="14.25" customHeight="1" x14ac:dyDescent="0.25">
      <c r="B258" s="1"/>
    </row>
    <row r="259" spans="2:2" ht="14.25" customHeight="1" x14ac:dyDescent="0.25">
      <c r="B259" s="1"/>
    </row>
    <row r="260" spans="2:2" ht="14.25" customHeight="1" x14ac:dyDescent="0.25">
      <c r="B260" s="1"/>
    </row>
    <row r="261" spans="2:2" ht="14.25" customHeight="1" x14ac:dyDescent="0.25">
      <c r="B261" s="1"/>
    </row>
    <row r="262" spans="2:2" ht="14.25" customHeight="1" x14ac:dyDescent="0.25">
      <c r="B262" s="1"/>
    </row>
    <row r="263" spans="2:2" ht="14.25" customHeight="1" x14ac:dyDescent="0.25">
      <c r="B263" s="1"/>
    </row>
    <row r="264" spans="2:2" ht="14.25" customHeight="1" x14ac:dyDescent="0.25">
      <c r="B264" s="1"/>
    </row>
    <row r="265" spans="2:2" ht="14.25" customHeight="1" x14ac:dyDescent="0.25">
      <c r="B265" s="1"/>
    </row>
    <row r="266" spans="2:2" ht="14.25" customHeight="1" x14ac:dyDescent="0.25">
      <c r="B266" s="1"/>
    </row>
    <row r="267" spans="2:2" ht="14.25" customHeight="1" x14ac:dyDescent="0.25">
      <c r="B267" s="1"/>
    </row>
    <row r="268" spans="2:2" ht="14.25" customHeight="1" x14ac:dyDescent="0.25">
      <c r="B268" s="1"/>
    </row>
    <row r="269" spans="2:2" ht="14.25" customHeight="1" x14ac:dyDescent="0.25">
      <c r="B269" s="1"/>
    </row>
    <row r="270" spans="2:2" ht="14.25" customHeight="1" x14ac:dyDescent="0.25">
      <c r="B270" s="1"/>
    </row>
    <row r="271" spans="2:2" ht="14.25" customHeight="1" x14ac:dyDescent="0.25">
      <c r="B271" s="1"/>
    </row>
    <row r="272" spans="2:2" ht="14.25" customHeight="1" x14ac:dyDescent="0.25">
      <c r="B272" s="1"/>
    </row>
    <row r="273" spans="2:2" ht="14.25" customHeight="1" x14ac:dyDescent="0.25">
      <c r="B273" s="1"/>
    </row>
    <row r="274" spans="2:2" ht="14.25" customHeight="1" x14ac:dyDescent="0.25">
      <c r="B274" s="1"/>
    </row>
    <row r="275" spans="2:2" ht="14.25" customHeight="1" x14ac:dyDescent="0.25">
      <c r="B275" s="1"/>
    </row>
    <row r="276" spans="2:2" ht="14.25" customHeight="1" x14ac:dyDescent="0.25">
      <c r="B276" s="1"/>
    </row>
    <row r="277" spans="2:2" ht="14.25" customHeight="1" x14ac:dyDescent="0.25">
      <c r="B277" s="1"/>
    </row>
    <row r="278" spans="2:2" ht="14.25" customHeight="1" x14ac:dyDescent="0.25">
      <c r="B278" s="1"/>
    </row>
    <row r="279" spans="2:2" ht="14.25" customHeight="1" x14ac:dyDescent="0.25">
      <c r="B279" s="1"/>
    </row>
    <row r="280" spans="2:2" ht="14.25" customHeight="1" x14ac:dyDescent="0.25">
      <c r="B280" s="1"/>
    </row>
    <row r="281" spans="2:2" ht="14.25" customHeight="1" x14ac:dyDescent="0.25">
      <c r="B281" s="1"/>
    </row>
    <row r="282" spans="2:2" ht="14.25" customHeight="1" x14ac:dyDescent="0.25">
      <c r="B282" s="1"/>
    </row>
    <row r="283" spans="2:2" ht="14.25" customHeight="1" x14ac:dyDescent="0.25">
      <c r="B283" s="1"/>
    </row>
    <row r="284" spans="2:2" ht="14.25" customHeight="1" x14ac:dyDescent="0.25">
      <c r="B284" s="1"/>
    </row>
    <row r="285" spans="2:2" ht="14.25" customHeight="1" x14ac:dyDescent="0.25">
      <c r="B285" s="1"/>
    </row>
    <row r="286" spans="2:2" ht="14.25" customHeight="1" x14ac:dyDescent="0.25">
      <c r="B286" s="1"/>
    </row>
    <row r="287" spans="2:2" ht="14.25" customHeight="1" x14ac:dyDescent="0.25">
      <c r="B287" s="1"/>
    </row>
    <row r="288" spans="2:2" ht="14.25" customHeight="1" x14ac:dyDescent="0.25">
      <c r="B288" s="1"/>
    </row>
    <row r="289" spans="2:2" ht="14.25" customHeight="1" x14ac:dyDescent="0.25">
      <c r="B289" s="1"/>
    </row>
    <row r="290" spans="2:2" ht="14.25" customHeight="1" x14ac:dyDescent="0.25">
      <c r="B290" s="1"/>
    </row>
    <row r="291" spans="2:2" ht="14.25" customHeight="1" x14ac:dyDescent="0.25">
      <c r="B291" s="1"/>
    </row>
    <row r="292" spans="2:2" ht="14.25" customHeight="1" x14ac:dyDescent="0.25">
      <c r="B292" s="1"/>
    </row>
    <row r="293" spans="2:2" ht="14.25" customHeight="1" x14ac:dyDescent="0.25">
      <c r="B293" s="1"/>
    </row>
    <row r="294" spans="2:2" ht="14.25" customHeight="1" x14ac:dyDescent="0.25">
      <c r="B294" s="1"/>
    </row>
    <row r="295" spans="2:2" ht="14.25" customHeight="1" x14ac:dyDescent="0.25">
      <c r="B295" s="1"/>
    </row>
    <row r="296" spans="2:2" ht="14.25" customHeight="1" x14ac:dyDescent="0.25">
      <c r="B296" s="1"/>
    </row>
    <row r="297" spans="2:2" ht="14.25" customHeight="1" x14ac:dyDescent="0.25">
      <c r="B297" s="1"/>
    </row>
    <row r="298" spans="2:2" ht="14.25" customHeight="1" x14ac:dyDescent="0.25">
      <c r="B298" s="1"/>
    </row>
    <row r="299" spans="2:2" ht="14.25" customHeight="1" x14ac:dyDescent="0.25">
      <c r="B299" s="1"/>
    </row>
    <row r="300" spans="2:2" ht="14.25" customHeight="1" x14ac:dyDescent="0.25">
      <c r="B300" s="1"/>
    </row>
    <row r="301" spans="2:2" ht="14.25" customHeight="1" x14ac:dyDescent="0.25">
      <c r="B301" s="1"/>
    </row>
    <row r="302" spans="2:2" ht="14.25" customHeight="1" x14ac:dyDescent="0.25">
      <c r="B302" s="1"/>
    </row>
    <row r="303" spans="2:2" ht="14.25" customHeight="1" x14ac:dyDescent="0.25">
      <c r="B303" s="1"/>
    </row>
    <row r="304" spans="2:2" ht="14.25" customHeight="1" x14ac:dyDescent="0.25">
      <c r="B304" s="1"/>
    </row>
    <row r="305" spans="2:2" ht="14.25" customHeight="1" x14ac:dyDescent="0.25">
      <c r="B305" s="1"/>
    </row>
    <row r="306" spans="2:2" ht="14.25" customHeight="1" x14ac:dyDescent="0.25">
      <c r="B306" s="1"/>
    </row>
    <row r="307" spans="2:2" ht="14.25" customHeight="1" x14ac:dyDescent="0.25">
      <c r="B307" s="1"/>
    </row>
    <row r="308" spans="2:2" ht="14.25" customHeight="1" x14ac:dyDescent="0.25">
      <c r="B308" s="1"/>
    </row>
    <row r="309" spans="2:2" ht="14.25" customHeight="1" x14ac:dyDescent="0.25">
      <c r="B309" s="1"/>
    </row>
    <row r="310" spans="2:2" ht="14.25" customHeight="1" x14ac:dyDescent="0.25">
      <c r="B310" s="1"/>
    </row>
    <row r="311" spans="2:2" ht="14.25" customHeight="1" x14ac:dyDescent="0.25">
      <c r="B311" s="1"/>
    </row>
    <row r="312" spans="2:2" ht="14.25" customHeight="1" x14ac:dyDescent="0.25">
      <c r="B312" s="1"/>
    </row>
    <row r="313" spans="2:2" ht="14.25" customHeight="1" x14ac:dyDescent="0.25">
      <c r="B313" s="1"/>
    </row>
    <row r="314" spans="2:2" ht="14.25" customHeight="1" x14ac:dyDescent="0.25">
      <c r="B314" s="1"/>
    </row>
    <row r="315" spans="2:2" ht="14.25" customHeight="1" x14ac:dyDescent="0.25">
      <c r="B315" s="1"/>
    </row>
    <row r="316" spans="2:2" ht="14.25" customHeight="1" x14ac:dyDescent="0.25">
      <c r="B316" s="1"/>
    </row>
    <row r="317" spans="2:2" ht="14.25" customHeight="1" x14ac:dyDescent="0.25">
      <c r="B317" s="1"/>
    </row>
    <row r="318" spans="2:2" ht="14.25" customHeight="1" x14ac:dyDescent="0.25">
      <c r="B318" s="1"/>
    </row>
    <row r="319" spans="2:2" ht="14.25" customHeight="1" x14ac:dyDescent="0.25">
      <c r="B319" s="1"/>
    </row>
    <row r="320" spans="2:2" ht="14.25" customHeight="1" x14ac:dyDescent="0.25">
      <c r="B320" s="1"/>
    </row>
    <row r="321" spans="2:2" ht="14.25" customHeight="1" x14ac:dyDescent="0.25">
      <c r="B321" s="1"/>
    </row>
    <row r="322" spans="2:2" ht="14.25" customHeight="1" x14ac:dyDescent="0.25">
      <c r="B322" s="1"/>
    </row>
    <row r="323" spans="2:2" ht="14.25" customHeight="1" x14ac:dyDescent="0.25">
      <c r="B323" s="1"/>
    </row>
    <row r="324" spans="2:2" ht="14.25" customHeight="1" x14ac:dyDescent="0.25">
      <c r="B324" s="1"/>
    </row>
    <row r="325" spans="2:2" ht="14.25" customHeight="1" x14ac:dyDescent="0.25">
      <c r="B325" s="1"/>
    </row>
    <row r="326" spans="2:2" ht="14.25" customHeight="1" x14ac:dyDescent="0.25">
      <c r="B326" s="1"/>
    </row>
    <row r="327" spans="2:2" ht="14.25" customHeight="1" x14ac:dyDescent="0.25">
      <c r="B327" s="1"/>
    </row>
    <row r="328" spans="2:2" ht="14.25" customHeight="1" x14ac:dyDescent="0.25">
      <c r="B328" s="1"/>
    </row>
    <row r="329" spans="2:2" ht="14.25" customHeight="1" x14ac:dyDescent="0.25">
      <c r="B329" s="1"/>
    </row>
    <row r="330" spans="2:2" ht="14.25" customHeight="1" x14ac:dyDescent="0.25">
      <c r="B330" s="1"/>
    </row>
    <row r="331" spans="2:2" ht="14.25" customHeight="1" x14ac:dyDescent="0.25">
      <c r="B331" s="1"/>
    </row>
    <row r="332" spans="2:2" ht="14.25" customHeight="1" x14ac:dyDescent="0.25">
      <c r="B332" s="1"/>
    </row>
    <row r="333" spans="2:2" ht="14.25" customHeight="1" x14ac:dyDescent="0.25">
      <c r="B333" s="1"/>
    </row>
    <row r="334" spans="2:2" ht="14.25" customHeight="1" x14ac:dyDescent="0.25">
      <c r="B334" s="1"/>
    </row>
    <row r="335" spans="2:2" ht="14.25" customHeight="1" x14ac:dyDescent="0.25">
      <c r="B335" s="1"/>
    </row>
    <row r="336" spans="2:2" ht="14.25" customHeight="1" x14ac:dyDescent="0.25">
      <c r="B336" s="1"/>
    </row>
    <row r="337" spans="2:2" ht="14.25" customHeight="1" x14ac:dyDescent="0.25">
      <c r="B337" s="1"/>
    </row>
    <row r="338" spans="2:2" ht="14.25" customHeight="1" x14ac:dyDescent="0.25">
      <c r="B338" s="1"/>
    </row>
    <row r="339" spans="2:2" ht="14.25" customHeight="1" x14ac:dyDescent="0.25">
      <c r="B339" s="1"/>
    </row>
    <row r="340" spans="2:2" ht="14.25" customHeight="1" x14ac:dyDescent="0.25">
      <c r="B340" s="1"/>
    </row>
    <row r="341" spans="2:2" ht="14.25" customHeight="1" x14ac:dyDescent="0.25">
      <c r="B341" s="1"/>
    </row>
    <row r="342" spans="2:2" ht="14.25" customHeight="1" x14ac:dyDescent="0.25">
      <c r="B342" s="1"/>
    </row>
    <row r="343" spans="2:2" ht="14.25" customHeight="1" x14ac:dyDescent="0.25">
      <c r="B343" s="1"/>
    </row>
    <row r="344" spans="2:2" ht="14.25" customHeight="1" x14ac:dyDescent="0.25">
      <c r="B344" s="1"/>
    </row>
    <row r="345" spans="2:2" ht="14.25" customHeight="1" x14ac:dyDescent="0.25">
      <c r="B345" s="1"/>
    </row>
    <row r="346" spans="2:2" ht="14.25" customHeight="1" x14ac:dyDescent="0.25">
      <c r="B346" s="1"/>
    </row>
    <row r="347" spans="2:2" ht="14.25" customHeight="1" x14ac:dyDescent="0.25">
      <c r="B347" s="1"/>
    </row>
    <row r="348" spans="2:2" ht="14.25" customHeight="1" x14ac:dyDescent="0.25">
      <c r="B348" s="1"/>
    </row>
    <row r="349" spans="2:2" ht="14.25" customHeight="1" x14ac:dyDescent="0.25">
      <c r="B349" s="1"/>
    </row>
    <row r="350" spans="2:2" ht="14.25" customHeight="1" x14ac:dyDescent="0.25">
      <c r="B350" s="1"/>
    </row>
    <row r="351" spans="2:2" ht="14.25" customHeight="1" x14ac:dyDescent="0.25">
      <c r="B351" s="1"/>
    </row>
    <row r="352" spans="2:2" ht="14.25" customHeight="1" x14ac:dyDescent="0.25">
      <c r="B352" s="1"/>
    </row>
    <row r="353" spans="2:2" ht="14.25" customHeight="1" x14ac:dyDescent="0.25">
      <c r="B353" s="1"/>
    </row>
    <row r="354" spans="2:2" ht="14.25" customHeight="1" x14ac:dyDescent="0.25">
      <c r="B354" s="1"/>
    </row>
    <row r="355" spans="2:2" ht="14.25" customHeight="1" x14ac:dyDescent="0.25">
      <c r="B355" s="1"/>
    </row>
    <row r="356" spans="2:2" ht="14.25" customHeight="1" x14ac:dyDescent="0.25">
      <c r="B356" s="1"/>
    </row>
    <row r="357" spans="2:2" ht="14.25" customHeight="1" x14ac:dyDescent="0.25">
      <c r="B357" s="1"/>
    </row>
    <row r="358" spans="2:2" ht="14.25" customHeight="1" x14ac:dyDescent="0.25">
      <c r="B358" s="1"/>
    </row>
    <row r="359" spans="2:2" ht="14.25" customHeight="1" x14ac:dyDescent="0.25">
      <c r="B359" s="1"/>
    </row>
    <row r="360" spans="2:2" ht="14.25" customHeight="1" x14ac:dyDescent="0.25">
      <c r="B360" s="1"/>
    </row>
    <row r="361" spans="2:2" ht="14.25" customHeight="1" x14ac:dyDescent="0.25">
      <c r="B361" s="1"/>
    </row>
    <row r="362" spans="2:2" ht="14.25" customHeight="1" x14ac:dyDescent="0.25">
      <c r="B362" s="1"/>
    </row>
    <row r="363" spans="2:2" ht="14.25" customHeight="1" x14ac:dyDescent="0.25">
      <c r="B363" s="1"/>
    </row>
    <row r="364" spans="2:2" ht="14.25" customHeight="1" x14ac:dyDescent="0.25">
      <c r="B364" s="1"/>
    </row>
    <row r="365" spans="2:2" ht="14.25" customHeight="1" x14ac:dyDescent="0.25">
      <c r="B365" s="1"/>
    </row>
    <row r="366" spans="2:2" ht="14.25" customHeight="1" x14ac:dyDescent="0.25">
      <c r="B366" s="1"/>
    </row>
    <row r="367" spans="2:2" ht="14.25" customHeight="1" x14ac:dyDescent="0.25">
      <c r="B367" s="1"/>
    </row>
    <row r="368" spans="2:2" ht="14.25" customHeight="1" x14ac:dyDescent="0.25">
      <c r="B368" s="1"/>
    </row>
    <row r="369" spans="2:2" ht="14.25" customHeight="1" x14ac:dyDescent="0.25">
      <c r="B369" s="1"/>
    </row>
    <row r="370" spans="2:2" ht="14.25" customHeight="1" x14ac:dyDescent="0.25">
      <c r="B370" s="1"/>
    </row>
    <row r="371" spans="2:2" ht="14.25" customHeight="1" x14ac:dyDescent="0.25">
      <c r="B371" s="1"/>
    </row>
    <row r="372" spans="2:2" ht="14.25" customHeight="1" x14ac:dyDescent="0.25">
      <c r="B372" s="1"/>
    </row>
    <row r="373" spans="2:2" ht="14.25" customHeight="1" x14ac:dyDescent="0.25">
      <c r="B373" s="1"/>
    </row>
    <row r="374" spans="2:2" ht="14.25" customHeight="1" x14ac:dyDescent="0.25">
      <c r="B374" s="1"/>
    </row>
    <row r="375" spans="2:2" ht="14.25" customHeight="1" x14ac:dyDescent="0.25">
      <c r="B375" s="1"/>
    </row>
    <row r="376" spans="2:2" ht="14.25" customHeight="1" x14ac:dyDescent="0.25">
      <c r="B376" s="1"/>
    </row>
    <row r="377" spans="2:2" ht="14.25" customHeight="1" x14ac:dyDescent="0.25">
      <c r="B377" s="1"/>
    </row>
    <row r="378" spans="2:2" ht="14.25" customHeight="1" x14ac:dyDescent="0.25">
      <c r="B378" s="1"/>
    </row>
    <row r="379" spans="2:2" ht="14.25" customHeight="1" x14ac:dyDescent="0.25">
      <c r="B379" s="1"/>
    </row>
    <row r="380" spans="2:2" ht="14.25" customHeight="1" x14ac:dyDescent="0.25">
      <c r="B380" s="1"/>
    </row>
    <row r="381" spans="2:2" ht="14.25" customHeight="1" x14ac:dyDescent="0.25">
      <c r="B381" s="1"/>
    </row>
    <row r="382" spans="2:2" ht="14.25" customHeight="1" x14ac:dyDescent="0.25">
      <c r="B382" s="1"/>
    </row>
    <row r="383" spans="2:2" ht="14.25" customHeight="1" x14ac:dyDescent="0.25">
      <c r="B383" s="1"/>
    </row>
    <row r="384" spans="2:2" ht="14.25" customHeight="1" x14ac:dyDescent="0.25">
      <c r="B384" s="1"/>
    </row>
    <row r="385" spans="2:2" ht="14.25" customHeight="1" x14ac:dyDescent="0.25">
      <c r="B385" s="1"/>
    </row>
    <row r="386" spans="2:2" ht="14.25" customHeight="1" x14ac:dyDescent="0.25">
      <c r="B386" s="1"/>
    </row>
    <row r="387" spans="2:2" ht="14.25" customHeight="1" x14ac:dyDescent="0.25">
      <c r="B387" s="1"/>
    </row>
    <row r="388" spans="2:2" ht="14.25" customHeight="1" x14ac:dyDescent="0.25">
      <c r="B388" s="1"/>
    </row>
    <row r="389" spans="2:2" ht="14.25" customHeight="1" x14ac:dyDescent="0.25">
      <c r="B389" s="1"/>
    </row>
    <row r="390" spans="2:2" ht="14.25" customHeight="1" x14ac:dyDescent="0.25">
      <c r="B390" s="1"/>
    </row>
    <row r="391" spans="2:2" ht="14.25" customHeight="1" x14ac:dyDescent="0.25">
      <c r="B391" s="1"/>
    </row>
    <row r="392" spans="2:2" ht="14.25" customHeight="1" x14ac:dyDescent="0.25">
      <c r="B392" s="1"/>
    </row>
    <row r="393" spans="2:2" ht="14.25" customHeight="1" x14ac:dyDescent="0.25">
      <c r="B393" s="1"/>
    </row>
    <row r="394" spans="2:2" ht="14.25" customHeight="1" x14ac:dyDescent="0.25">
      <c r="B394" s="1"/>
    </row>
    <row r="395" spans="2:2" ht="14.25" customHeight="1" x14ac:dyDescent="0.25">
      <c r="B395" s="1"/>
    </row>
    <row r="396" spans="2:2" ht="14.25" customHeight="1" x14ac:dyDescent="0.25">
      <c r="B396" s="1"/>
    </row>
    <row r="397" spans="2:2" ht="14.25" customHeight="1" x14ac:dyDescent="0.25">
      <c r="B397" s="1"/>
    </row>
    <row r="398" spans="2:2" ht="14.25" customHeight="1" x14ac:dyDescent="0.25">
      <c r="B398" s="1"/>
    </row>
    <row r="399" spans="2:2" ht="14.25" customHeight="1" x14ac:dyDescent="0.25">
      <c r="B399" s="1"/>
    </row>
    <row r="400" spans="2:2" ht="14.25" customHeight="1" x14ac:dyDescent="0.25">
      <c r="B400" s="1"/>
    </row>
    <row r="401" spans="2:2" ht="14.25" customHeight="1" x14ac:dyDescent="0.25">
      <c r="B401" s="1"/>
    </row>
    <row r="402" spans="2:2" ht="14.25" customHeight="1" x14ac:dyDescent="0.25">
      <c r="B402" s="1"/>
    </row>
    <row r="403" spans="2:2" ht="14.25" customHeight="1" x14ac:dyDescent="0.25">
      <c r="B403" s="1"/>
    </row>
    <row r="404" spans="2:2" ht="14.25" customHeight="1" x14ac:dyDescent="0.25">
      <c r="B404" s="1"/>
    </row>
    <row r="405" spans="2:2" ht="14.25" customHeight="1" x14ac:dyDescent="0.25">
      <c r="B405" s="1"/>
    </row>
    <row r="406" spans="2:2" ht="14.25" customHeight="1" x14ac:dyDescent="0.25">
      <c r="B406" s="1"/>
    </row>
    <row r="407" spans="2:2" ht="14.25" customHeight="1" x14ac:dyDescent="0.25">
      <c r="B407" s="1"/>
    </row>
    <row r="408" spans="2:2" ht="14.25" customHeight="1" x14ac:dyDescent="0.25">
      <c r="B408" s="1"/>
    </row>
    <row r="409" spans="2:2" ht="14.25" customHeight="1" x14ac:dyDescent="0.25">
      <c r="B409" s="1"/>
    </row>
    <row r="410" spans="2:2" ht="14.25" customHeight="1" x14ac:dyDescent="0.25">
      <c r="B410" s="1"/>
    </row>
    <row r="411" spans="2:2" ht="14.25" customHeight="1" x14ac:dyDescent="0.25">
      <c r="B411" s="1"/>
    </row>
    <row r="412" spans="2:2" ht="14.25" customHeight="1" x14ac:dyDescent="0.25">
      <c r="B412" s="1"/>
    </row>
    <row r="413" spans="2:2" ht="14.25" customHeight="1" x14ac:dyDescent="0.25">
      <c r="B413" s="1"/>
    </row>
    <row r="414" spans="2:2" ht="14.25" customHeight="1" x14ac:dyDescent="0.25">
      <c r="B414" s="1"/>
    </row>
    <row r="415" spans="2:2" ht="14.25" customHeight="1" x14ac:dyDescent="0.25">
      <c r="B415" s="1"/>
    </row>
    <row r="416" spans="2:2" ht="14.25" customHeight="1" x14ac:dyDescent="0.25">
      <c r="B416" s="1"/>
    </row>
    <row r="417" spans="2:2" ht="14.25" customHeight="1" x14ac:dyDescent="0.25">
      <c r="B417" s="1"/>
    </row>
    <row r="418" spans="2:2" ht="14.25" customHeight="1" x14ac:dyDescent="0.25">
      <c r="B418" s="1"/>
    </row>
    <row r="419" spans="2:2" ht="14.25" customHeight="1" x14ac:dyDescent="0.25">
      <c r="B419" s="1"/>
    </row>
    <row r="420" spans="2:2" ht="14.25" customHeight="1" x14ac:dyDescent="0.25">
      <c r="B420" s="1"/>
    </row>
    <row r="421" spans="2:2" ht="14.25" customHeight="1" x14ac:dyDescent="0.25">
      <c r="B421" s="1"/>
    </row>
    <row r="422" spans="2:2" ht="14.25" customHeight="1" x14ac:dyDescent="0.25">
      <c r="B422" s="1"/>
    </row>
    <row r="423" spans="2:2" ht="14.25" customHeight="1" x14ac:dyDescent="0.25">
      <c r="B423" s="1"/>
    </row>
    <row r="424" spans="2:2" ht="14.25" customHeight="1" x14ac:dyDescent="0.25">
      <c r="B424" s="1"/>
    </row>
    <row r="425" spans="2:2" ht="14.25" customHeight="1" x14ac:dyDescent="0.25">
      <c r="B425" s="1"/>
    </row>
    <row r="426" spans="2:2" ht="14.25" customHeight="1" x14ac:dyDescent="0.25">
      <c r="B426" s="1"/>
    </row>
    <row r="427" spans="2:2" ht="14.25" customHeight="1" x14ac:dyDescent="0.25">
      <c r="B427" s="1"/>
    </row>
    <row r="428" spans="2:2" ht="14.25" customHeight="1" x14ac:dyDescent="0.25">
      <c r="B428" s="1"/>
    </row>
    <row r="429" spans="2:2" ht="14.25" customHeight="1" x14ac:dyDescent="0.25">
      <c r="B429" s="1"/>
    </row>
    <row r="430" spans="2:2" ht="14.25" customHeight="1" x14ac:dyDescent="0.25">
      <c r="B430" s="1"/>
    </row>
    <row r="431" spans="2:2" ht="14.25" customHeight="1" x14ac:dyDescent="0.25">
      <c r="B431" s="1"/>
    </row>
    <row r="432" spans="2:2" ht="14.25" customHeight="1" x14ac:dyDescent="0.25">
      <c r="B432" s="1"/>
    </row>
    <row r="433" spans="2:2" ht="14.25" customHeight="1" x14ac:dyDescent="0.25">
      <c r="B433" s="1"/>
    </row>
    <row r="434" spans="2:2" ht="14.25" customHeight="1" x14ac:dyDescent="0.25">
      <c r="B434" s="1"/>
    </row>
    <row r="435" spans="2:2" ht="14.25" customHeight="1" x14ac:dyDescent="0.25">
      <c r="B435" s="1"/>
    </row>
    <row r="436" spans="2:2" ht="14.25" customHeight="1" x14ac:dyDescent="0.25">
      <c r="B436" s="1"/>
    </row>
    <row r="437" spans="2:2" ht="14.25" customHeight="1" x14ac:dyDescent="0.25">
      <c r="B437" s="1"/>
    </row>
    <row r="438" spans="2:2" ht="14.25" customHeight="1" x14ac:dyDescent="0.25">
      <c r="B438" s="1"/>
    </row>
    <row r="439" spans="2:2" ht="14.25" customHeight="1" x14ac:dyDescent="0.25">
      <c r="B439" s="1"/>
    </row>
    <row r="440" spans="2:2" ht="14.25" customHeight="1" x14ac:dyDescent="0.25">
      <c r="B440" s="1"/>
    </row>
    <row r="441" spans="2:2" ht="14.25" customHeight="1" x14ac:dyDescent="0.25">
      <c r="B441" s="1"/>
    </row>
    <row r="442" spans="2:2" ht="14.25" customHeight="1" x14ac:dyDescent="0.25">
      <c r="B442" s="1"/>
    </row>
    <row r="443" spans="2:2" ht="14.25" customHeight="1" x14ac:dyDescent="0.25">
      <c r="B443" s="1"/>
    </row>
    <row r="444" spans="2:2" ht="14.25" customHeight="1" x14ac:dyDescent="0.25">
      <c r="B444" s="1"/>
    </row>
    <row r="445" spans="2:2" ht="14.25" customHeight="1" x14ac:dyDescent="0.25">
      <c r="B445" s="1"/>
    </row>
    <row r="446" spans="2:2" ht="14.25" customHeight="1" x14ac:dyDescent="0.25">
      <c r="B446" s="1"/>
    </row>
    <row r="447" spans="2:2" ht="14.25" customHeight="1" x14ac:dyDescent="0.25">
      <c r="B447" s="1"/>
    </row>
    <row r="448" spans="2:2" ht="14.25" customHeight="1" x14ac:dyDescent="0.25">
      <c r="B448" s="1"/>
    </row>
    <row r="449" spans="2:2" ht="14.25" customHeight="1" x14ac:dyDescent="0.25">
      <c r="B449" s="1"/>
    </row>
    <row r="450" spans="2:2" ht="14.25" customHeight="1" x14ac:dyDescent="0.25">
      <c r="B450" s="1"/>
    </row>
    <row r="451" spans="2:2" ht="14.25" customHeight="1" x14ac:dyDescent="0.25">
      <c r="B451" s="1"/>
    </row>
    <row r="452" spans="2:2" ht="14.25" customHeight="1" x14ac:dyDescent="0.25">
      <c r="B452" s="1"/>
    </row>
    <row r="453" spans="2:2" ht="14.25" customHeight="1" x14ac:dyDescent="0.25">
      <c r="B453" s="1"/>
    </row>
    <row r="454" spans="2:2" ht="14.25" customHeight="1" x14ac:dyDescent="0.25">
      <c r="B454" s="1"/>
    </row>
    <row r="455" spans="2:2" ht="14.25" customHeight="1" x14ac:dyDescent="0.25">
      <c r="B455" s="1"/>
    </row>
    <row r="456" spans="2:2" ht="14.25" customHeight="1" x14ac:dyDescent="0.25">
      <c r="B456" s="1"/>
    </row>
    <row r="457" spans="2:2" ht="14.25" customHeight="1" x14ac:dyDescent="0.25">
      <c r="B457" s="1"/>
    </row>
    <row r="458" spans="2:2" ht="14.25" customHeight="1" x14ac:dyDescent="0.25">
      <c r="B458" s="1"/>
    </row>
    <row r="459" spans="2:2" ht="14.25" customHeight="1" x14ac:dyDescent="0.25">
      <c r="B459" s="1"/>
    </row>
    <row r="460" spans="2:2" ht="14.25" customHeight="1" x14ac:dyDescent="0.25">
      <c r="B460" s="1"/>
    </row>
    <row r="461" spans="2:2" ht="14.25" customHeight="1" x14ac:dyDescent="0.25">
      <c r="B461" s="1"/>
    </row>
    <row r="462" spans="2:2" ht="14.25" customHeight="1" x14ac:dyDescent="0.25">
      <c r="B462" s="1"/>
    </row>
    <row r="463" spans="2:2" ht="14.25" customHeight="1" x14ac:dyDescent="0.25">
      <c r="B463" s="1"/>
    </row>
    <row r="464" spans="2:2" ht="14.25" customHeight="1" x14ac:dyDescent="0.25">
      <c r="B464" s="1"/>
    </row>
    <row r="465" spans="2:2" ht="14.25" customHeight="1" x14ac:dyDescent="0.25">
      <c r="B465" s="1"/>
    </row>
    <row r="466" spans="2:2" ht="14.25" customHeight="1" x14ac:dyDescent="0.25">
      <c r="B466" s="1"/>
    </row>
    <row r="467" spans="2:2" ht="14.25" customHeight="1" x14ac:dyDescent="0.25">
      <c r="B467" s="1"/>
    </row>
    <row r="468" spans="2:2" ht="14.25" customHeight="1" x14ac:dyDescent="0.25">
      <c r="B468" s="1"/>
    </row>
    <row r="469" spans="2:2" ht="14.25" customHeight="1" x14ac:dyDescent="0.25">
      <c r="B469" s="1"/>
    </row>
    <row r="470" spans="2:2" ht="14.25" customHeight="1" x14ac:dyDescent="0.25">
      <c r="B470" s="1"/>
    </row>
    <row r="471" spans="2:2" ht="14.25" customHeight="1" x14ac:dyDescent="0.25">
      <c r="B471" s="1"/>
    </row>
    <row r="472" spans="2:2" ht="14.25" customHeight="1" x14ac:dyDescent="0.25">
      <c r="B472" s="1"/>
    </row>
    <row r="473" spans="2:2" ht="14.25" customHeight="1" x14ac:dyDescent="0.25">
      <c r="B473" s="1"/>
    </row>
    <row r="474" spans="2:2" ht="14.25" customHeight="1" x14ac:dyDescent="0.25">
      <c r="B474" s="1"/>
    </row>
    <row r="475" spans="2:2" ht="14.25" customHeight="1" x14ac:dyDescent="0.25">
      <c r="B475" s="1"/>
    </row>
    <row r="476" spans="2:2" ht="14.25" customHeight="1" x14ac:dyDescent="0.25">
      <c r="B476" s="1"/>
    </row>
    <row r="477" spans="2:2" ht="14.25" customHeight="1" x14ac:dyDescent="0.25">
      <c r="B477" s="1"/>
    </row>
    <row r="478" spans="2:2" ht="14.25" customHeight="1" x14ac:dyDescent="0.25">
      <c r="B478" s="1"/>
    </row>
    <row r="479" spans="2:2" ht="14.25" customHeight="1" x14ac:dyDescent="0.25">
      <c r="B479" s="1"/>
    </row>
    <row r="480" spans="2:2" ht="14.25" customHeight="1" x14ac:dyDescent="0.25">
      <c r="B480" s="1"/>
    </row>
    <row r="481" spans="2:2" ht="14.25" customHeight="1" x14ac:dyDescent="0.25">
      <c r="B481" s="1"/>
    </row>
    <row r="482" spans="2:2" ht="14.25" customHeight="1" x14ac:dyDescent="0.25">
      <c r="B482" s="1"/>
    </row>
    <row r="483" spans="2:2" ht="14.25" customHeight="1" x14ac:dyDescent="0.25">
      <c r="B483" s="1"/>
    </row>
    <row r="484" spans="2:2" ht="14.25" customHeight="1" x14ac:dyDescent="0.25">
      <c r="B484" s="1"/>
    </row>
    <row r="485" spans="2:2" ht="14.25" customHeight="1" x14ac:dyDescent="0.25">
      <c r="B485" s="1"/>
    </row>
    <row r="486" spans="2:2" ht="14.25" customHeight="1" x14ac:dyDescent="0.25">
      <c r="B486" s="1"/>
    </row>
    <row r="487" spans="2:2" ht="14.25" customHeight="1" x14ac:dyDescent="0.25">
      <c r="B487" s="1"/>
    </row>
    <row r="488" spans="2:2" ht="14.25" customHeight="1" x14ac:dyDescent="0.25">
      <c r="B488" s="1"/>
    </row>
    <row r="489" spans="2:2" ht="14.25" customHeight="1" x14ac:dyDescent="0.25">
      <c r="B489" s="1"/>
    </row>
    <row r="490" spans="2:2" ht="14.25" customHeight="1" x14ac:dyDescent="0.25">
      <c r="B490" s="1"/>
    </row>
    <row r="491" spans="2:2" ht="14.25" customHeight="1" x14ac:dyDescent="0.25">
      <c r="B491" s="1"/>
    </row>
    <row r="492" spans="2:2" ht="14.25" customHeight="1" x14ac:dyDescent="0.25">
      <c r="B492" s="1"/>
    </row>
    <row r="493" spans="2:2" ht="14.25" customHeight="1" x14ac:dyDescent="0.25">
      <c r="B493" s="1"/>
    </row>
    <row r="494" spans="2:2" ht="14.25" customHeight="1" x14ac:dyDescent="0.25">
      <c r="B494" s="1"/>
    </row>
    <row r="495" spans="2:2" ht="14.25" customHeight="1" x14ac:dyDescent="0.25">
      <c r="B495" s="1"/>
    </row>
    <row r="496" spans="2:2" ht="14.25" customHeight="1" x14ac:dyDescent="0.25">
      <c r="B496" s="1"/>
    </row>
    <row r="497" spans="2:2" ht="14.25" customHeight="1" x14ac:dyDescent="0.25">
      <c r="B497" s="1"/>
    </row>
    <row r="498" spans="2:2" ht="14.25" customHeight="1" x14ac:dyDescent="0.25">
      <c r="B498" s="1"/>
    </row>
    <row r="499" spans="2:2" ht="14.25" customHeight="1" x14ac:dyDescent="0.25">
      <c r="B499" s="1"/>
    </row>
    <row r="500" spans="2:2" ht="14.25" customHeight="1" x14ac:dyDescent="0.25">
      <c r="B500" s="1"/>
    </row>
    <row r="501" spans="2:2" ht="14.25" customHeight="1" x14ac:dyDescent="0.25">
      <c r="B501" s="1"/>
    </row>
    <row r="502" spans="2:2" ht="14.25" customHeight="1" x14ac:dyDescent="0.25">
      <c r="B502" s="1"/>
    </row>
    <row r="503" spans="2:2" ht="14.25" customHeight="1" x14ac:dyDescent="0.25">
      <c r="B503" s="1"/>
    </row>
    <row r="504" spans="2:2" ht="14.25" customHeight="1" x14ac:dyDescent="0.25">
      <c r="B504" s="1"/>
    </row>
    <row r="505" spans="2:2" ht="14.25" customHeight="1" x14ac:dyDescent="0.25">
      <c r="B505" s="1"/>
    </row>
    <row r="506" spans="2:2" ht="14.25" customHeight="1" x14ac:dyDescent="0.25">
      <c r="B506" s="1"/>
    </row>
    <row r="507" spans="2:2" ht="14.25" customHeight="1" x14ac:dyDescent="0.25">
      <c r="B507" s="1"/>
    </row>
    <row r="508" spans="2:2" ht="14.25" customHeight="1" x14ac:dyDescent="0.25">
      <c r="B508" s="1"/>
    </row>
    <row r="509" spans="2:2" ht="14.25" customHeight="1" x14ac:dyDescent="0.25">
      <c r="B509" s="1"/>
    </row>
    <row r="510" spans="2:2" ht="14.25" customHeight="1" x14ac:dyDescent="0.25">
      <c r="B510" s="1"/>
    </row>
    <row r="511" spans="2:2" ht="14.25" customHeight="1" x14ac:dyDescent="0.25">
      <c r="B511" s="1"/>
    </row>
    <row r="512" spans="2:2" ht="14.25" customHeight="1" x14ac:dyDescent="0.25">
      <c r="B512" s="1"/>
    </row>
    <row r="513" spans="2:2" ht="14.25" customHeight="1" x14ac:dyDescent="0.25">
      <c r="B513" s="1"/>
    </row>
    <row r="514" spans="2:2" ht="14.25" customHeight="1" x14ac:dyDescent="0.25">
      <c r="B514" s="1"/>
    </row>
    <row r="515" spans="2:2" ht="14.25" customHeight="1" x14ac:dyDescent="0.25">
      <c r="B515" s="1"/>
    </row>
    <row r="516" spans="2:2" ht="14.25" customHeight="1" x14ac:dyDescent="0.25">
      <c r="B516" s="1"/>
    </row>
    <row r="517" spans="2:2" ht="14.25" customHeight="1" x14ac:dyDescent="0.25">
      <c r="B517" s="1"/>
    </row>
    <row r="518" spans="2:2" ht="14.25" customHeight="1" x14ac:dyDescent="0.25">
      <c r="B518" s="1"/>
    </row>
    <row r="519" spans="2:2" ht="14.25" customHeight="1" x14ac:dyDescent="0.25">
      <c r="B519" s="1"/>
    </row>
    <row r="520" spans="2:2" ht="14.25" customHeight="1" x14ac:dyDescent="0.25">
      <c r="B520" s="1"/>
    </row>
    <row r="521" spans="2:2" ht="14.25" customHeight="1" x14ac:dyDescent="0.25">
      <c r="B521" s="1"/>
    </row>
    <row r="522" spans="2:2" ht="14.25" customHeight="1" x14ac:dyDescent="0.25">
      <c r="B522" s="1"/>
    </row>
    <row r="523" spans="2:2" ht="14.25" customHeight="1" x14ac:dyDescent="0.25">
      <c r="B523" s="1"/>
    </row>
    <row r="524" spans="2:2" ht="14.25" customHeight="1" x14ac:dyDescent="0.25">
      <c r="B524" s="1"/>
    </row>
    <row r="525" spans="2:2" ht="14.25" customHeight="1" x14ac:dyDescent="0.25">
      <c r="B525" s="1"/>
    </row>
    <row r="526" spans="2:2" ht="14.25" customHeight="1" x14ac:dyDescent="0.25">
      <c r="B526" s="1"/>
    </row>
    <row r="527" spans="2:2" ht="14.25" customHeight="1" x14ac:dyDescent="0.25">
      <c r="B527" s="1"/>
    </row>
    <row r="528" spans="2:2" ht="14.25" customHeight="1" x14ac:dyDescent="0.25">
      <c r="B528" s="1"/>
    </row>
    <row r="529" spans="2:2" ht="14.25" customHeight="1" x14ac:dyDescent="0.25">
      <c r="B529" s="1"/>
    </row>
    <row r="530" spans="2:2" ht="14.25" customHeight="1" x14ac:dyDescent="0.25">
      <c r="B530" s="1"/>
    </row>
    <row r="531" spans="2:2" ht="14.25" customHeight="1" x14ac:dyDescent="0.25">
      <c r="B531" s="1"/>
    </row>
    <row r="532" spans="2:2" ht="14.25" customHeight="1" x14ac:dyDescent="0.25">
      <c r="B532" s="1"/>
    </row>
    <row r="533" spans="2:2" ht="14.25" customHeight="1" x14ac:dyDescent="0.25">
      <c r="B533" s="1"/>
    </row>
    <row r="534" spans="2:2" ht="14.25" customHeight="1" x14ac:dyDescent="0.25">
      <c r="B534" s="1"/>
    </row>
    <row r="535" spans="2:2" ht="14.25" customHeight="1" x14ac:dyDescent="0.25">
      <c r="B535" s="1"/>
    </row>
    <row r="536" spans="2:2" ht="14.25" customHeight="1" x14ac:dyDescent="0.25">
      <c r="B536" s="1"/>
    </row>
    <row r="537" spans="2:2" ht="14.25" customHeight="1" x14ac:dyDescent="0.25">
      <c r="B537" s="1"/>
    </row>
    <row r="538" spans="2:2" ht="14.25" customHeight="1" x14ac:dyDescent="0.25">
      <c r="B538" s="1"/>
    </row>
    <row r="539" spans="2:2" ht="14.25" customHeight="1" x14ac:dyDescent="0.25">
      <c r="B539" s="1"/>
    </row>
    <row r="540" spans="2:2" ht="14.25" customHeight="1" x14ac:dyDescent="0.25">
      <c r="B540" s="1"/>
    </row>
    <row r="541" spans="2:2" ht="14.25" customHeight="1" x14ac:dyDescent="0.25">
      <c r="B541" s="1"/>
    </row>
    <row r="542" spans="2:2" ht="14.25" customHeight="1" x14ac:dyDescent="0.25">
      <c r="B542" s="1"/>
    </row>
    <row r="543" spans="2:2" ht="14.25" customHeight="1" x14ac:dyDescent="0.25">
      <c r="B543" s="1"/>
    </row>
    <row r="544" spans="2:2" ht="14.25" customHeight="1" x14ac:dyDescent="0.25">
      <c r="B544" s="1"/>
    </row>
    <row r="545" spans="2:2" ht="14.25" customHeight="1" x14ac:dyDescent="0.25">
      <c r="B545" s="1"/>
    </row>
    <row r="546" spans="2:2" ht="14.25" customHeight="1" x14ac:dyDescent="0.25">
      <c r="B546" s="1"/>
    </row>
    <row r="547" spans="2:2" ht="14.25" customHeight="1" x14ac:dyDescent="0.25">
      <c r="B547" s="1"/>
    </row>
    <row r="548" spans="2:2" ht="14.25" customHeight="1" x14ac:dyDescent="0.25">
      <c r="B548" s="1"/>
    </row>
    <row r="549" spans="2:2" ht="14.25" customHeight="1" x14ac:dyDescent="0.25">
      <c r="B549" s="1"/>
    </row>
    <row r="550" spans="2:2" ht="14.25" customHeight="1" x14ac:dyDescent="0.25">
      <c r="B550" s="1"/>
    </row>
    <row r="551" spans="2:2" ht="14.25" customHeight="1" x14ac:dyDescent="0.25">
      <c r="B551" s="1"/>
    </row>
    <row r="552" spans="2:2" ht="14.25" customHeight="1" x14ac:dyDescent="0.25">
      <c r="B552" s="1"/>
    </row>
    <row r="553" spans="2:2" ht="14.25" customHeight="1" x14ac:dyDescent="0.25">
      <c r="B553" s="1"/>
    </row>
    <row r="554" spans="2:2" ht="14.25" customHeight="1" x14ac:dyDescent="0.25">
      <c r="B554" s="1"/>
    </row>
    <row r="555" spans="2:2" ht="14.25" customHeight="1" x14ac:dyDescent="0.25">
      <c r="B555" s="1"/>
    </row>
    <row r="556" spans="2:2" ht="14.25" customHeight="1" x14ac:dyDescent="0.25">
      <c r="B556" s="1"/>
    </row>
    <row r="557" spans="2:2" ht="14.25" customHeight="1" x14ac:dyDescent="0.25">
      <c r="B557" s="1"/>
    </row>
    <row r="558" spans="2:2" ht="14.25" customHeight="1" x14ac:dyDescent="0.25">
      <c r="B558" s="1"/>
    </row>
    <row r="559" spans="2:2" ht="14.25" customHeight="1" x14ac:dyDescent="0.25">
      <c r="B559" s="1"/>
    </row>
    <row r="560" spans="2:2" ht="14.25" customHeight="1" x14ac:dyDescent="0.25">
      <c r="B560" s="1"/>
    </row>
    <row r="561" spans="2:2" ht="14.25" customHeight="1" x14ac:dyDescent="0.25">
      <c r="B561" s="1"/>
    </row>
    <row r="562" spans="2:2" ht="14.25" customHeight="1" x14ac:dyDescent="0.25">
      <c r="B562" s="1"/>
    </row>
    <row r="563" spans="2:2" ht="14.25" customHeight="1" x14ac:dyDescent="0.25">
      <c r="B563" s="1"/>
    </row>
    <row r="564" spans="2:2" ht="14.25" customHeight="1" x14ac:dyDescent="0.25">
      <c r="B564" s="1"/>
    </row>
    <row r="565" spans="2:2" ht="14.25" customHeight="1" x14ac:dyDescent="0.25">
      <c r="B565" s="1"/>
    </row>
    <row r="566" spans="2:2" ht="14.25" customHeight="1" x14ac:dyDescent="0.25">
      <c r="B566" s="1"/>
    </row>
    <row r="567" spans="2:2" ht="14.25" customHeight="1" x14ac:dyDescent="0.25">
      <c r="B567" s="1"/>
    </row>
    <row r="568" spans="2:2" ht="14.25" customHeight="1" x14ac:dyDescent="0.25">
      <c r="B568" s="1"/>
    </row>
    <row r="569" spans="2:2" ht="14.25" customHeight="1" x14ac:dyDescent="0.25">
      <c r="B569" s="1"/>
    </row>
    <row r="570" spans="2:2" ht="14.25" customHeight="1" x14ac:dyDescent="0.25">
      <c r="B570" s="1"/>
    </row>
    <row r="571" spans="2:2" ht="14.25" customHeight="1" x14ac:dyDescent="0.25">
      <c r="B571" s="1"/>
    </row>
    <row r="572" spans="2:2" ht="14.25" customHeight="1" x14ac:dyDescent="0.25">
      <c r="B572" s="1"/>
    </row>
    <row r="573" spans="2:2" ht="14.25" customHeight="1" x14ac:dyDescent="0.25">
      <c r="B573" s="1"/>
    </row>
    <row r="574" spans="2:2" ht="14.25" customHeight="1" x14ac:dyDescent="0.25">
      <c r="B574" s="1"/>
    </row>
    <row r="575" spans="2:2" ht="14.25" customHeight="1" x14ac:dyDescent="0.25">
      <c r="B575" s="1"/>
    </row>
    <row r="576" spans="2:2" ht="14.25" customHeight="1" x14ac:dyDescent="0.25">
      <c r="B576" s="1"/>
    </row>
    <row r="577" spans="2:2" ht="14.25" customHeight="1" x14ac:dyDescent="0.25">
      <c r="B577" s="1"/>
    </row>
    <row r="578" spans="2:2" ht="14.25" customHeight="1" x14ac:dyDescent="0.25">
      <c r="B578" s="1"/>
    </row>
    <row r="579" spans="2:2" ht="14.25" customHeight="1" x14ac:dyDescent="0.25">
      <c r="B579" s="1"/>
    </row>
    <row r="580" spans="2:2" ht="14.25" customHeight="1" x14ac:dyDescent="0.25">
      <c r="B580" s="1"/>
    </row>
    <row r="581" spans="2:2" ht="14.25" customHeight="1" x14ac:dyDescent="0.25">
      <c r="B581" s="1"/>
    </row>
    <row r="582" spans="2:2" ht="14.25" customHeight="1" x14ac:dyDescent="0.25">
      <c r="B582" s="1"/>
    </row>
    <row r="583" spans="2:2" ht="14.25" customHeight="1" x14ac:dyDescent="0.25">
      <c r="B583" s="1"/>
    </row>
    <row r="584" spans="2:2" ht="14.25" customHeight="1" x14ac:dyDescent="0.25">
      <c r="B584" s="1"/>
    </row>
    <row r="585" spans="2:2" ht="14.25" customHeight="1" x14ac:dyDescent="0.25">
      <c r="B585" s="1"/>
    </row>
    <row r="586" spans="2:2" ht="14.25" customHeight="1" x14ac:dyDescent="0.25">
      <c r="B586" s="1"/>
    </row>
    <row r="587" spans="2:2" ht="14.25" customHeight="1" x14ac:dyDescent="0.25">
      <c r="B587" s="1"/>
    </row>
    <row r="588" spans="2:2" ht="14.25" customHeight="1" x14ac:dyDescent="0.25">
      <c r="B588" s="1"/>
    </row>
    <row r="589" spans="2:2" ht="14.25" customHeight="1" x14ac:dyDescent="0.25">
      <c r="B589" s="1"/>
    </row>
    <row r="590" spans="2:2" ht="14.25" customHeight="1" x14ac:dyDescent="0.25">
      <c r="B590" s="1"/>
    </row>
    <row r="591" spans="2:2" ht="14.25" customHeight="1" x14ac:dyDescent="0.25">
      <c r="B591" s="1"/>
    </row>
    <row r="592" spans="2:2" ht="14.25" customHeight="1" x14ac:dyDescent="0.25">
      <c r="B592" s="1"/>
    </row>
    <row r="593" spans="2:2" ht="14.25" customHeight="1" x14ac:dyDescent="0.25">
      <c r="B593" s="1"/>
    </row>
    <row r="594" spans="2:2" ht="14.25" customHeight="1" x14ac:dyDescent="0.25">
      <c r="B594" s="1"/>
    </row>
    <row r="595" spans="2:2" ht="14.25" customHeight="1" x14ac:dyDescent="0.25">
      <c r="B595" s="1"/>
    </row>
    <row r="596" spans="2:2" ht="14.25" customHeight="1" x14ac:dyDescent="0.25">
      <c r="B596" s="1"/>
    </row>
    <row r="597" spans="2:2" ht="14.25" customHeight="1" x14ac:dyDescent="0.25">
      <c r="B597" s="1"/>
    </row>
    <row r="598" spans="2:2" ht="14.25" customHeight="1" x14ac:dyDescent="0.25">
      <c r="B598" s="1"/>
    </row>
    <row r="599" spans="2:2" ht="14.25" customHeight="1" x14ac:dyDescent="0.25">
      <c r="B599" s="1"/>
    </row>
    <row r="600" spans="2:2" ht="14.25" customHeight="1" x14ac:dyDescent="0.25">
      <c r="B600" s="1"/>
    </row>
    <row r="601" spans="2:2" ht="14.25" customHeight="1" x14ac:dyDescent="0.25">
      <c r="B601" s="1"/>
    </row>
    <row r="602" spans="2:2" ht="14.25" customHeight="1" x14ac:dyDescent="0.25">
      <c r="B602" s="1"/>
    </row>
    <row r="603" spans="2:2" ht="14.25" customHeight="1" x14ac:dyDescent="0.25">
      <c r="B603" s="1"/>
    </row>
    <row r="604" spans="2:2" ht="14.25" customHeight="1" x14ac:dyDescent="0.25">
      <c r="B604" s="1"/>
    </row>
    <row r="605" spans="2:2" ht="14.25" customHeight="1" x14ac:dyDescent="0.25">
      <c r="B605" s="1"/>
    </row>
    <row r="606" spans="2:2" ht="14.25" customHeight="1" x14ac:dyDescent="0.25">
      <c r="B606" s="1"/>
    </row>
    <row r="607" spans="2:2" ht="14.25" customHeight="1" x14ac:dyDescent="0.25">
      <c r="B607" s="1"/>
    </row>
    <row r="608" spans="2:2" ht="14.25" customHeight="1" x14ac:dyDescent="0.25">
      <c r="B608" s="1"/>
    </row>
    <row r="609" spans="2:2" ht="14.25" customHeight="1" x14ac:dyDescent="0.25">
      <c r="B609" s="1"/>
    </row>
    <row r="610" spans="2:2" ht="14.25" customHeight="1" x14ac:dyDescent="0.25">
      <c r="B610" s="1"/>
    </row>
    <row r="611" spans="2:2" ht="14.25" customHeight="1" x14ac:dyDescent="0.25">
      <c r="B611" s="1"/>
    </row>
    <row r="612" spans="2:2" ht="14.25" customHeight="1" x14ac:dyDescent="0.25">
      <c r="B612" s="1"/>
    </row>
    <row r="613" spans="2:2" ht="14.25" customHeight="1" x14ac:dyDescent="0.25">
      <c r="B613" s="1"/>
    </row>
    <row r="614" spans="2:2" ht="14.25" customHeight="1" x14ac:dyDescent="0.25">
      <c r="B614" s="1"/>
    </row>
    <row r="615" spans="2:2" ht="14.25" customHeight="1" x14ac:dyDescent="0.25">
      <c r="B615" s="1"/>
    </row>
    <row r="616" spans="2:2" ht="14.25" customHeight="1" x14ac:dyDescent="0.25">
      <c r="B616" s="1"/>
    </row>
    <row r="617" spans="2:2" ht="14.25" customHeight="1" x14ac:dyDescent="0.25">
      <c r="B617" s="1"/>
    </row>
    <row r="618" spans="2:2" ht="14.25" customHeight="1" x14ac:dyDescent="0.25">
      <c r="B618" s="1"/>
    </row>
    <row r="619" spans="2:2" ht="14.25" customHeight="1" x14ac:dyDescent="0.25">
      <c r="B619" s="1"/>
    </row>
    <row r="620" spans="2:2" ht="14.25" customHeight="1" x14ac:dyDescent="0.25">
      <c r="B620" s="1"/>
    </row>
    <row r="621" spans="2:2" ht="14.25" customHeight="1" x14ac:dyDescent="0.25">
      <c r="B621" s="1"/>
    </row>
    <row r="622" spans="2:2" ht="14.25" customHeight="1" x14ac:dyDescent="0.25">
      <c r="B622" s="1"/>
    </row>
    <row r="623" spans="2:2" ht="14.25" customHeight="1" x14ac:dyDescent="0.25">
      <c r="B623" s="1"/>
    </row>
    <row r="624" spans="2:2" ht="14.25" customHeight="1" x14ac:dyDescent="0.25">
      <c r="B624" s="1"/>
    </row>
    <row r="625" spans="2:2" ht="14.25" customHeight="1" x14ac:dyDescent="0.25">
      <c r="B625" s="1"/>
    </row>
    <row r="626" spans="2:2" ht="14.25" customHeight="1" x14ac:dyDescent="0.25">
      <c r="B626" s="1"/>
    </row>
    <row r="627" spans="2:2" ht="14.25" customHeight="1" x14ac:dyDescent="0.25">
      <c r="B627" s="1"/>
    </row>
    <row r="628" spans="2:2" ht="14.25" customHeight="1" x14ac:dyDescent="0.25">
      <c r="B628" s="1"/>
    </row>
    <row r="629" spans="2:2" ht="14.25" customHeight="1" x14ac:dyDescent="0.25">
      <c r="B629" s="1"/>
    </row>
    <row r="630" spans="2:2" ht="14.25" customHeight="1" x14ac:dyDescent="0.25">
      <c r="B630" s="1"/>
    </row>
    <row r="631" spans="2:2" ht="14.25" customHeight="1" x14ac:dyDescent="0.25">
      <c r="B631" s="1"/>
    </row>
    <row r="632" spans="2:2" ht="14.25" customHeight="1" x14ac:dyDescent="0.25">
      <c r="B632" s="1"/>
    </row>
    <row r="633" spans="2:2" ht="14.25" customHeight="1" x14ac:dyDescent="0.25">
      <c r="B633" s="1"/>
    </row>
    <row r="634" spans="2:2" ht="14.25" customHeight="1" x14ac:dyDescent="0.25">
      <c r="B634" s="1"/>
    </row>
    <row r="635" spans="2:2" ht="14.25" customHeight="1" x14ac:dyDescent="0.25">
      <c r="B635" s="1"/>
    </row>
    <row r="636" spans="2:2" ht="14.25" customHeight="1" x14ac:dyDescent="0.25">
      <c r="B636" s="1"/>
    </row>
    <row r="637" spans="2:2" ht="14.25" customHeight="1" x14ac:dyDescent="0.25">
      <c r="B637" s="1"/>
    </row>
    <row r="638" spans="2:2" ht="14.25" customHeight="1" x14ac:dyDescent="0.25">
      <c r="B638" s="1"/>
    </row>
    <row r="639" spans="2:2" ht="14.25" customHeight="1" x14ac:dyDescent="0.25">
      <c r="B639" s="1"/>
    </row>
    <row r="640" spans="2:2" ht="14.25" customHeight="1" x14ac:dyDescent="0.25">
      <c r="B640" s="1"/>
    </row>
    <row r="641" spans="2:2" ht="14.25" customHeight="1" x14ac:dyDescent="0.25">
      <c r="B641" s="1"/>
    </row>
    <row r="642" spans="2:2" ht="14.25" customHeight="1" x14ac:dyDescent="0.25">
      <c r="B642" s="1"/>
    </row>
    <row r="643" spans="2:2" ht="14.25" customHeight="1" x14ac:dyDescent="0.25">
      <c r="B643" s="1"/>
    </row>
    <row r="644" spans="2:2" ht="14.25" customHeight="1" x14ac:dyDescent="0.25">
      <c r="B644" s="1"/>
    </row>
    <row r="645" spans="2:2" ht="14.25" customHeight="1" x14ac:dyDescent="0.25">
      <c r="B645" s="1"/>
    </row>
    <row r="646" spans="2:2" ht="14.25" customHeight="1" x14ac:dyDescent="0.25">
      <c r="B646" s="1"/>
    </row>
    <row r="647" spans="2:2" ht="14.25" customHeight="1" x14ac:dyDescent="0.25">
      <c r="B647" s="1"/>
    </row>
    <row r="648" spans="2:2" ht="14.25" customHeight="1" x14ac:dyDescent="0.25">
      <c r="B648" s="1"/>
    </row>
    <row r="649" spans="2:2" ht="14.25" customHeight="1" x14ac:dyDescent="0.25">
      <c r="B649" s="1"/>
    </row>
    <row r="650" spans="2:2" ht="14.25" customHeight="1" x14ac:dyDescent="0.25">
      <c r="B650" s="1"/>
    </row>
    <row r="651" spans="2:2" ht="14.25" customHeight="1" x14ac:dyDescent="0.25">
      <c r="B651" s="1"/>
    </row>
    <row r="652" spans="2:2" ht="14.25" customHeight="1" x14ac:dyDescent="0.25">
      <c r="B652" s="1"/>
    </row>
    <row r="653" spans="2:2" ht="14.25" customHeight="1" x14ac:dyDescent="0.25">
      <c r="B653" s="1"/>
    </row>
    <row r="654" spans="2:2" ht="14.25" customHeight="1" x14ac:dyDescent="0.25">
      <c r="B654" s="1"/>
    </row>
    <row r="655" spans="2:2" ht="14.25" customHeight="1" x14ac:dyDescent="0.25">
      <c r="B655" s="1"/>
    </row>
    <row r="656" spans="2:2" ht="14.25" customHeight="1" x14ac:dyDescent="0.25">
      <c r="B656" s="1"/>
    </row>
    <row r="657" spans="2:2" ht="14.25" customHeight="1" x14ac:dyDescent="0.25">
      <c r="B657" s="1"/>
    </row>
    <row r="658" spans="2:2" ht="14.25" customHeight="1" x14ac:dyDescent="0.25">
      <c r="B658" s="1"/>
    </row>
    <row r="659" spans="2:2" ht="14.25" customHeight="1" x14ac:dyDescent="0.25">
      <c r="B659" s="1"/>
    </row>
    <row r="660" spans="2:2" ht="14.25" customHeight="1" x14ac:dyDescent="0.25">
      <c r="B660" s="1"/>
    </row>
    <row r="661" spans="2:2" ht="14.25" customHeight="1" x14ac:dyDescent="0.25">
      <c r="B661" s="1"/>
    </row>
    <row r="662" spans="2:2" ht="14.25" customHeight="1" x14ac:dyDescent="0.25">
      <c r="B662" s="1"/>
    </row>
    <row r="663" spans="2:2" ht="14.25" customHeight="1" x14ac:dyDescent="0.25">
      <c r="B663" s="1"/>
    </row>
    <row r="664" spans="2:2" ht="14.25" customHeight="1" x14ac:dyDescent="0.25">
      <c r="B664" s="1"/>
    </row>
    <row r="665" spans="2:2" ht="14.25" customHeight="1" x14ac:dyDescent="0.25">
      <c r="B665" s="1"/>
    </row>
    <row r="666" spans="2:2" ht="14.25" customHeight="1" x14ac:dyDescent="0.25">
      <c r="B666" s="1"/>
    </row>
    <row r="667" spans="2:2" ht="14.25" customHeight="1" x14ac:dyDescent="0.25">
      <c r="B667" s="1"/>
    </row>
    <row r="668" spans="2:2" ht="14.25" customHeight="1" x14ac:dyDescent="0.25">
      <c r="B668" s="1"/>
    </row>
    <row r="669" spans="2:2" ht="14.25" customHeight="1" x14ac:dyDescent="0.25">
      <c r="B669" s="1"/>
    </row>
    <row r="670" spans="2:2" ht="14.25" customHeight="1" x14ac:dyDescent="0.25">
      <c r="B670" s="1"/>
    </row>
    <row r="671" spans="2:2" ht="14.25" customHeight="1" x14ac:dyDescent="0.25">
      <c r="B671" s="1"/>
    </row>
    <row r="672" spans="2:2" ht="14.25" customHeight="1" x14ac:dyDescent="0.25">
      <c r="B672" s="1"/>
    </row>
    <row r="673" spans="2:2" ht="14.25" customHeight="1" x14ac:dyDescent="0.25">
      <c r="B673" s="1"/>
    </row>
    <row r="674" spans="2:2" ht="14.25" customHeight="1" x14ac:dyDescent="0.25">
      <c r="B674" s="1"/>
    </row>
    <row r="675" spans="2:2" ht="14.25" customHeight="1" x14ac:dyDescent="0.25">
      <c r="B675" s="1"/>
    </row>
    <row r="676" spans="2:2" ht="14.25" customHeight="1" x14ac:dyDescent="0.25">
      <c r="B676" s="1"/>
    </row>
    <row r="677" spans="2:2" ht="14.25" customHeight="1" x14ac:dyDescent="0.25">
      <c r="B677" s="1"/>
    </row>
    <row r="678" spans="2:2" ht="14.25" customHeight="1" x14ac:dyDescent="0.25">
      <c r="B678" s="1"/>
    </row>
    <row r="679" spans="2:2" ht="14.25" customHeight="1" x14ac:dyDescent="0.25">
      <c r="B679" s="1"/>
    </row>
    <row r="680" spans="2:2" ht="14.25" customHeight="1" x14ac:dyDescent="0.25">
      <c r="B680" s="1"/>
    </row>
    <row r="681" spans="2:2" ht="14.25" customHeight="1" x14ac:dyDescent="0.25">
      <c r="B681" s="1"/>
    </row>
    <row r="682" spans="2:2" ht="14.25" customHeight="1" x14ac:dyDescent="0.25">
      <c r="B682" s="1"/>
    </row>
    <row r="683" spans="2:2" ht="14.25" customHeight="1" x14ac:dyDescent="0.25">
      <c r="B683" s="1"/>
    </row>
    <row r="684" spans="2:2" ht="14.25" customHeight="1" x14ac:dyDescent="0.25">
      <c r="B684" s="1"/>
    </row>
    <row r="685" spans="2:2" ht="14.25" customHeight="1" x14ac:dyDescent="0.25">
      <c r="B685" s="1"/>
    </row>
    <row r="686" spans="2:2" ht="14.25" customHeight="1" x14ac:dyDescent="0.25">
      <c r="B686" s="1"/>
    </row>
    <row r="687" spans="2:2" ht="14.25" customHeight="1" x14ac:dyDescent="0.25">
      <c r="B687" s="1"/>
    </row>
    <row r="688" spans="2:2" ht="14.25" customHeight="1" x14ac:dyDescent="0.25">
      <c r="B688" s="1"/>
    </row>
    <row r="689" spans="2:2" ht="14.25" customHeight="1" x14ac:dyDescent="0.25">
      <c r="B689" s="1"/>
    </row>
    <row r="690" spans="2:2" ht="14.25" customHeight="1" x14ac:dyDescent="0.25">
      <c r="B690" s="1"/>
    </row>
    <row r="691" spans="2:2" ht="14.25" customHeight="1" x14ac:dyDescent="0.25">
      <c r="B691" s="1"/>
    </row>
    <row r="692" spans="2:2" ht="14.25" customHeight="1" x14ac:dyDescent="0.25">
      <c r="B692" s="1"/>
    </row>
    <row r="693" spans="2:2" ht="14.25" customHeight="1" x14ac:dyDescent="0.25">
      <c r="B693" s="1"/>
    </row>
    <row r="694" spans="2:2" ht="14.25" customHeight="1" x14ac:dyDescent="0.25">
      <c r="B694" s="1"/>
    </row>
    <row r="695" spans="2:2" ht="14.25" customHeight="1" x14ac:dyDescent="0.25">
      <c r="B695" s="1"/>
    </row>
    <row r="696" spans="2:2" ht="14.25" customHeight="1" x14ac:dyDescent="0.25">
      <c r="B696" s="1"/>
    </row>
    <row r="697" spans="2:2" ht="14.25" customHeight="1" x14ac:dyDescent="0.25">
      <c r="B697" s="1"/>
    </row>
    <row r="698" spans="2:2" ht="14.25" customHeight="1" x14ac:dyDescent="0.25">
      <c r="B698" s="1"/>
    </row>
    <row r="699" spans="2:2" ht="14.25" customHeight="1" x14ac:dyDescent="0.25">
      <c r="B699" s="1"/>
    </row>
    <row r="700" spans="2:2" ht="14.25" customHeight="1" x14ac:dyDescent="0.25">
      <c r="B700" s="1"/>
    </row>
    <row r="701" spans="2:2" ht="14.25" customHeight="1" x14ac:dyDescent="0.25">
      <c r="B701" s="1"/>
    </row>
    <row r="702" spans="2:2" ht="14.25" customHeight="1" x14ac:dyDescent="0.25">
      <c r="B702" s="1"/>
    </row>
    <row r="703" spans="2:2" ht="14.25" customHeight="1" x14ac:dyDescent="0.25">
      <c r="B703" s="1"/>
    </row>
    <row r="704" spans="2:2" ht="14.25" customHeight="1" x14ac:dyDescent="0.25">
      <c r="B704" s="1"/>
    </row>
    <row r="705" spans="2:2" ht="14.25" customHeight="1" x14ac:dyDescent="0.25">
      <c r="B705" s="1"/>
    </row>
    <row r="706" spans="2:2" ht="14.25" customHeight="1" x14ac:dyDescent="0.25">
      <c r="B706" s="1"/>
    </row>
    <row r="707" spans="2:2" ht="14.25" customHeight="1" x14ac:dyDescent="0.25">
      <c r="B707" s="1"/>
    </row>
    <row r="708" spans="2:2" ht="14.25" customHeight="1" x14ac:dyDescent="0.25">
      <c r="B708" s="1"/>
    </row>
    <row r="709" spans="2:2" ht="14.25" customHeight="1" x14ac:dyDescent="0.25">
      <c r="B709" s="1"/>
    </row>
    <row r="710" spans="2:2" ht="14.25" customHeight="1" x14ac:dyDescent="0.25">
      <c r="B710" s="1"/>
    </row>
    <row r="711" spans="2:2" ht="14.25" customHeight="1" x14ac:dyDescent="0.25">
      <c r="B711" s="1"/>
    </row>
    <row r="712" spans="2:2" ht="14.25" customHeight="1" x14ac:dyDescent="0.25">
      <c r="B712" s="1"/>
    </row>
    <row r="713" spans="2:2" ht="14.25" customHeight="1" x14ac:dyDescent="0.25">
      <c r="B713" s="1"/>
    </row>
    <row r="714" spans="2:2" ht="14.25" customHeight="1" x14ac:dyDescent="0.25">
      <c r="B714" s="1"/>
    </row>
    <row r="715" spans="2:2" ht="14.25" customHeight="1" x14ac:dyDescent="0.25">
      <c r="B715" s="1"/>
    </row>
    <row r="716" spans="2:2" ht="14.25" customHeight="1" x14ac:dyDescent="0.25">
      <c r="B716" s="1"/>
    </row>
    <row r="717" spans="2:2" ht="14.25" customHeight="1" x14ac:dyDescent="0.25">
      <c r="B717" s="1"/>
    </row>
    <row r="718" spans="2:2" ht="14.25" customHeight="1" x14ac:dyDescent="0.25">
      <c r="B718" s="1"/>
    </row>
    <row r="719" spans="2:2" ht="14.25" customHeight="1" x14ac:dyDescent="0.25">
      <c r="B719" s="1"/>
    </row>
    <row r="720" spans="2:2" ht="14.25" customHeight="1" x14ac:dyDescent="0.25">
      <c r="B720" s="1"/>
    </row>
    <row r="721" spans="2:2" ht="14.25" customHeight="1" x14ac:dyDescent="0.25">
      <c r="B721" s="1"/>
    </row>
    <row r="722" spans="2:2" ht="14.25" customHeight="1" x14ac:dyDescent="0.25">
      <c r="B722" s="1"/>
    </row>
    <row r="723" spans="2:2" ht="14.25" customHeight="1" x14ac:dyDescent="0.25">
      <c r="B723" s="1"/>
    </row>
    <row r="724" spans="2:2" ht="14.25" customHeight="1" x14ac:dyDescent="0.25">
      <c r="B724" s="1"/>
    </row>
    <row r="725" spans="2:2" ht="14.25" customHeight="1" x14ac:dyDescent="0.25">
      <c r="B725" s="1"/>
    </row>
    <row r="726" spans="2:2" ht="14.25" customHeight="1" x14ac:dyDescent="0.25">
      <c r="B726" s="1"/>
    </row>
    <row r="727" spans="2:2" ht="14.25" customHeight="1" x14ac:dyDescent="0.25">
      <c r="B727" s="1"/>
    </row>
    <row r="728" spans="2:2" ht="14.25" customHeight="1" x14ac:dyDescent="0.25">
      <c r="B728" s="1"/>
    </row>
    <row r="729" spans="2:2" ht="14.25" customHeight="1" x14ac:dyDescent="0.25">
      <c r="B729" s="1"/>
    </row>
    <row r="730" spans="2:2" ht="14.25" customHeight="1" x14ac:dyDescent="0.25">
      <c r="B730" s="1"/>
    </row>
    <row r="731" spans="2:2" ht="14.25" customHeight="1" x14ac:dyDescent="0.25">
      <c r="B731" s="1"/>
    </row>
    <row r="732" spans="2:2" ht="14.25" customHeight="1" x14ac:dyDescent="0.25">
      <c r="B732" s="1"/>
    </row>
    <row r="733" spans="2:2" ht="14.25" customHeight="1" x14ac:dyDescent="0.25">
      <c r="B733" s="1"/>
    </row>
    <row r="734" spans="2:2" ht="14.25" customHeight="1" x14ac:dyDescent="0.25">
      <c r="B734" s="1"/>
    </row>
    <row r="735" spans="2:2" ht="14.25" customHeight="1" x14ac:dyDescent="0.25">
      <c r="B735" s="1"/>
    </row>
    <row r="736" spans="2:2" ht="14.25" customHeight="1" x14ac:dyDescent="0.25">
      <c r="B736" s="1"/>
    </row>
    <row r="737" spans="2:2" ht="14.25" customHeight="1" x14ac:dyDescent="0.25">
      <c r="B737" s="1"/>
    </row>
    <row r="738" spans="2:2" ht="14.25" customHeight="1" x14ac:dyDescent="0.25">
      <c r="B738" s="1"/>
    </row>
    <row r="739" spans="2:2" ht="14.25" customHeight="1" x14ac:dyDescent="0.25">
      <c r="B739" s="1"/>
    </row>
    <row r="740" spans="2:2" ht="14.25" customHeight="1" x14ac:dyDescent="0.25">
      <c r="B740" s="1"/>
    </row>
    <row r="741" spans="2:2" ht="14.25" customHeight="1" x14ac:dyDescent="0.25">
      <c r="B741" s="1"/>
    </row>
    <row r="742" spans="2:2" ht="14.25" customHeight="1" x14ac:dyDescent="0.25">
      <c r="B742" s="1"/>
    </row>
    <row r="743" spans="2:2" ht="14.25" customHeight="1" x14ac:dyDescent="0.25">
      <c r="B743" s="1"/>
    </row>
    <row r="744" spans="2:2" ht="14.25" customHeight="1" x14ac:dyDescent="0.25">
      <c r="B744" s="1"/>
    </row>
    <row r="745" spans="2:2" ht="14.25" customHeight="1" x14ac:dyDescent="0.25">
      <c r="B745" s="1"/>
    </row>
    <row r="746" spans="2:2" ht="14.25" customHeight="1" x14ac:dyDescent="0.25">
      <c r="B746" s="1"/>
    </row>
    <row r="747" spans="2:2" ht="14.25" customHeight="1" x14ac:dyDescent="0.25">
      <c r="B747" s="1"/>
    </row>
    <row r="748" spans="2:2" ht="14.25" customHeight="1" x14ac:dyDescent="0.25">
      <c r="B748" s="1"/>
    </row>
    <row r="749" spans="2:2" ht="14.25" customHeight="1" x14ac:dyDescent="0.25">
      <c r="B749" s="1"/>
    </row>
    <row r="750" spans="2:2" ht="14.25" customHeight="1" x14ac:dyDescent="0.25">
      <c r="B750" s="1"/>
    </row>
    <row r="751" spans="2:2" ht="14.25" customHeight="1" x14ac:dyDescent="0.25">
      <c r="B751" s="1"/>
    </row>
    <row r="752" spans="2:2" ht="14.25" customHeight="1" x14ac:dyDescent="0.25">
      <c r="B752" s="1"/>
    </row>
    <row r="753" spans="2:2" ht="14.25" customHeight="1" x14ac:dyDescent="0.25">
      <c r="B753" s="1"/>
    </row>
    <row r="754" spans="2:2" ht="14.25" customHeight="1" x14ac:dyDescent="0.25">
      <c r="B754" s="1"/>
    </row>
    <row r="755" spans="2:2" ht="14.25" customHeight="1" x14ac:dyDescent="0.25">
      <c r="B755" s="1"/>
    </row>
    <row r="756" spans="2:2" ht="14.25" customHeight="1" x14ac:dyDescent="0.25">
      <c r="B756" s="1"/>
    </row>
    <row r="757" spans="2:2" ht="14.25" customHeight="1" x14ac:dyDescent="0.25">
      <c r="B757" s="1"/>
    </row>
    <row r="758" spans="2:2" ht="14.25" customHeight="1" x14ac:dyDescent="0.25">
      <c r="B758" s="1"/>
    </row>
    <row r="759" spans="2:2" ht="14.25" customHeight="1" x14ac:dyDescent="0.25">
      <c r="B759" s="1"/>
    </row>
    <row r="760" spans="2:2" ht="14.25" customHeight="1" x14ac:dyDescent="0.25">
      <c r="B760" s="1"/>
    </row>
    <row r="761" spans="2:2" ht="14.25" customHeight="1" x14ac:dyDescent="0.25">
      <c r="B761" s="1"/>
    </row>
    <row r="762" spans="2:2" ht="14.25" customHeight="1" x14ac:dyDescent="0.25">
      <c r="B762" s="1"/>
    </row>
    <row r="763" spans="2:2" ht="14.25" customHeight="1" x14ac:dyDescent="0.25">
      <c r="B763" s="1"/>
    </row>
    <row r="764" spans="2:2" ht="14.25" customHeight="1" x14ac:dyDescent="0.25">
      <c r="B764" s="1"/>
    </row>
    <row r="765" spans="2:2" ht="14.25" customHeight="1" x14ac:dyDescent="0.25">
      <c r="B765" s="1"/>
    </row>
    <row r="766" spans="2:2" ht="14.25" customHeight="1" x14ac:dyDescent="0.25">
      <c r="B766" s="1"/>
    </row>
    <row r="767" spans="2:2" ht="14.25" customHeight="1" x14ac:dyDescent="0.25">
      <c r="B767" s="1"/>
    </row>
    <row r="768" spans="2:2" ht="14.25" customHeight="1" x14ac:dyDescent="0.25">
      <c r="B768" s="1"/>
    </row>
    <row r="769" spans="2:2" ht="14.25" customHeight="1" x14ac:dyDescent="0.25">
      <c r="B769" s="1"/>
    </row>
    <row r="770" spans="2:2" ht="14.25" customHeight="1" x14ac:dyDescent="0.25">
      <c r="B770" s="1"/>
    </row>
    <row r="771" spans="2:2" ht="14.25" customHeight="1" x14ac:dyDescent="0.25">
      <c r="B771" s="1"/>
    </row>
    <row r="772" spans="2:2" ht="14.25" customHeight="1" x14ac:dyDescent="0.25">
      <c r="B772" s="1"/>
    </row>
    <row r="773" spans="2:2" ht="14.25" customHeight="1" x14ac:dyDescent="0.25">
      <c r="B773" s="1"/>
    </row>
    <row r="774" spans="2:2" ht="14.25" customHeight="1" x14ac:dyDescent="0.25">
      <c r="B774" s="1"/>
    </row>
    <row r="775" spans="2:2" ht="14.25" customHeight="1" x14ac:dyDescent="0.25">
      <c r="B775" s="1"/>
    </row>
    <row r="776" spans="2:2" ht="14.25" customHeight="1" x14ac:dyDescent="0.25">
      <c r="B776" s="1"/>
    </row>
    <row r="777" spans="2:2" ht="14.25" customHeight="1" x14ac:dyDescent="0.25">
      <c r="B777" s="1"/>
    </row>
    <row r="778" spans="2:2" ht="14.25" customHeight="1" x14ac:dyDescent="0.25">
      <c r="B778" s="1"/>
    </row>
    <row r="779" spans="2:2" ht="14.25" customHeight="1" x14ac:dyDescent="0.25">
      <c r="B779" s="1"/>
    </row>
    <row r="780" spans="2:2" ht="14.25" customHeight="1" x14ac:dyDescent="0.25">
      <c r="B780" s="1"/>
    </row>
    <row r="781" spans="2:2" ht="14.25" customHeight="1" x14ac:dyDescent="0.25">
      <c r="B781" s="1"/>
    </row>
    <row r="782" spans="2:2" ht="14.25" customHeight="1" x14ac:dyDescent="0.25">
      <c r="B782" s="1"/>
    </row>
    <row r="783" spans="2:2" ht="14.25" customHeight="1" x14ac:dyDescent="0.25">
      <c r="B783" s="1"/>
    </row>
    <row r="784" spans="2:2" ht="14.25" customHeight="1" x14ac:dyDescent="0.25">
      <c r="B784" s="1"/>
    </row>
    <row r="785" spans="2:2" ht="14.25" customHeight="1" x14ac:dyDescent="0.25">
      <c r="B785" s="1"/>
    </row>
    <row r="786" spans="2:2" ht="14.25" customHeight="1" x14ac:dyDescent="0.25">
      <c r="B786" s="1"/>
    </row>
    <row r="787" spans="2:2" ht="14.25" customHeight="1" x14ac:dyDescent="0.25">
      <c r="B787" s="1"/>
    </row>
    <row r="788" spans="2:2" ht="14.25" customHeight="1" x14ac:dyDescent="0.25">
      <c r="B788" s="1"/>
    </row>
    <row r="789" spans="2:2" ht="14.25" customHeight="1" x14ac:dyDescent="0.25">
      <c r="B789" s="1"/>
    </row>
    <row r="790" spans="2:2" ht="14.25" customHeight="1" x14ac:dyDescent="0.25">
      <c r="B790" s="1"/>
    </row>
    <row r="791" spans="2:2" ht="14.25" customHeight="1" x14ac:dyDescent="0.25">
      <c r="B791" s="1"/>
    </row>
    <row r="792" spans="2:2" ht="14.25" customHeight="1" x14ac:dyDescent="0.25">
      <c r="B792" s="1"/>
    </row>
    <row r="793" spans="2:2" ht="14.25" customHeight="1" x14ac:dyDescent="0.25">
      <c r="B793" s="1"/>
    </row>
    <row r="794" spans="2:2" ht="14.25" customHeight="1" x14ac:dyDescent="0.25">
      <c r="B794" s="1"/>
    </row>
    <row r="795" spans="2:2" ht="14.25" customHeight="1" x14ac:dyDescent="0.25">
      <c r="B795" s="1"/>
    </row>
    <row r="796" spans="2:2" ht="14.25" customHeight="1" x14ac:dyDescent="0.25">
      <c r="B796" s="1"/>
    </row>
    <row r="797" spans="2:2" ht="14.25" customHeight="1" x14ac:dyDescent="0.25">
      <c r="B797" s="1"/>
    </row>
    <row r="798" spans="2:2" ht="14.25" customHeight="1" x14ac:dyDescent="0.25">
      <c r="B798" s="1"/>
    </row>
    <row r="799" spans="2:2" ht="14.25" customHeight="1" x14ac:dyDescent="0.25">
      <c r="B799" s="1"/>
    </row>
    <row r="800" spans="2:2" ht="14.25" customHeight="1" x14ac:dyDescent="0.25">
      <c r="B800" s="1"/>
    </row>
    <row r="801" spans="2:2" ht="14.25" customHeight="1" x14ac:dyDescent="0.25">
      <c r="B801" s="1"/>
    </row>
    <row r="802" spans="2:2" ht="14.25" customHeight="1" x14ac:dyDescent="0.25">
      <c r="B802" s="1"/>
    </row>
    <row r="803" spans="2:2" ht="14.25" customHeight="1" x14ac:dyDescent="0.25">
      <c r="B803" s="1"/>
    </row>
    <row r="804" spans="2:2" ht="14.25" customHeight="1" x14ac:dyDescent="0.25">
      <c r="B804" s="1"/>
    </row>
    <row r="805" spans="2:2" ht="14.25" customHeight="1" x14ac:dyDescent="0.25">
      <c r="B805" s="1"/>
    </row>
    <row r="806" spans="2:2" ht="14.25" customHeight="1" x14ac:dyDescent="0.25">
      <c r="B806" s="1"/>
    </row>
    <row r="807" spans="2:2" ht="14.25" customHeight="1" x14ac:dyDescent="0.25">
      <c r="B807" s="1"/>
    </row>
    <row r="808" spans="2:2" ht="14.25" customHeight="1" x14ac:dyDescent="0.25">
      <c r="B808" s="1"/>
    </row>
    <row r="809" spans="2:2" ht="14.25" customHeight="1" x14ac:dyDescent="0.25">
      <c r="B809" s="1"/>
    </row>
    <row r="810" spans="2:2" ht="14.25" customHeight="1" x14ac:dyDescent="0.25">
      <c r="B810" s="1"/>
    </row>
    <row r="811" spans="2:2" ht="14.25" customHeight="1" x14ac:dyDescent="0.25">
      <c r="B811" s="1"/>
    </row>
    <row r="812" spans="2:2" ht="14.25" customHeight="1" x14ac:dyDescent="0.25">
      <c r="B812" s="1"/>
    </row>
    <row r="813" spans="2:2" ht="14.25" customHeight="1" x14ac:dyDescent="0.25">
      <c r="B813" s="1"/>
    </row>
    <row r="814" spans="2:2" ht="14.25" customHeight="1" x14ac:dyDescent="0.25">
      <c r="B814" s="1"/>
    </row>
    <row r="815" spans="2:2" ht="14.25" customHeight="1" x14ac:dyDescent="0.25">
      <c r="B815" s="1"/>
    </row>
    <row r="816" spans="2:2" ht="14.25" customHeight="1" x14ac:dyDescent="0.25">
      <c r="B816" s="1"/>
    </row>
    <row r="817" spans="2:2" ht="14.25" customHeight="1" x14ac:dyDescent="0.25">
      <c r="B817" s="1"/>
    </row>
    <row r="818" spans="2:2" ht="14.25" customHeight="1" x14ac:dyDescent="0.25">
      <c r="B818" s="1"/>
    </row>
    <row r="819" spans="2:2" ht="14.25" customHeight="1" x14ac:dyDescent="0.25">
      <c r="B819" s="1"/>
    </row>
    <row r="820" spans="2:2" ht="14.25" customHeight="1" x14ac:dyDescent="0.25">
      <c r="B820" s="1"/>
    </row>
    <row r="821" spans="2:2" ht="14.25" customHeight="1" x14ac:dyDescent="0.25">
      <c r="B821" s="1"/>
    </row>
    <row r="822" spans="2:2" ht="14.25" customHeight="1" x14ac:dyDescent="0.25">
      <c r="B822" s="1"/>
    </row>
    <row r="823" spans="2:2" ht="14.25" customHeight="1" x14ac:dyDescent="0.25">
      <c r="B823" s="1"/>
    </row>
    <row r="824" spans="2:2" ht="14.25" customHeight="1" x14ac:dyDescent="0.25">
      <c r="B824" s="1"/>
    </row>
    <row r="825" spans="2:2" ht="14.25" customHeight="1" x14ac:dyDescent="0.25">
      <c r="B825" s="1"/>
    </row>
    <row r="826" spans="2:2" ht="14.25" customHeight="1" x14ac:dyDescent="0.25">
      <c r="B826" s="1"/>
    </row>
    <row r="827" spans="2:2" ht="14.25" customHeight="1" x14ac:dyDescent="0.25">
      <c r="B827" s="1"/>
    </row>
    <row r="828" spans="2:2" ht="14.25" customHeight="1" x14ac:dyDescent="0.25">
      <c r="B828" s="1"/>
    </row>
    <row r="829" spans="2:2" ht="14.25" customHeight="1" x14ac:dyDescent="0.25">
      <c r="B829" s="1"/>
    </row>
    <row r="830" spans="2:2" ht="14.25" customHeight="1" x14ac:dyDescent="0.25">
      <c r="B830" s="1"/>
    </row>
    <row r="831" spans="2:2" ht="14.25" customHeight="1" x14ac:dyDescent="0.25">
      <c r="B831" s="1"/>
    </row>
    <row r="832" spans="2:2" ht="14.25" customHeight="1" x14ac:dyDescent="0.25">
      <c r="B832" s="1"/>
    </row>
    <row r="833" spans="2:2" ht="14.25" customHeight="1" x14ac:dyDescent="0.25">
      <c r="B833" s="1"/>
    </row>
    <row r="834" spans="2:2" ht="14.25" customHeight="1" x14ac:dyDescent="0.25">
      <c r="B834" s="1"/>
    </row>
    <row r="835" spans="2:2" ht="14.25" customHeight="1" x14ac:dyDescent="0.25">
      <c r="B835" s="1"/>
    </row>
    <row r="836" spans="2:2" ht="14.25" customHeight="1" x14ac:dyDescent="0.25">
      <c r="B836" s="1"/>
    </row>
    <row r="837" spans="2:2" ht="14.25" customHeight="1" x14ac:dyDescent="0.25">
      <c r="B837" s="1"/>
    </row>
    <row r="838" spans="2:2" ht="14.25" customHeight="1" x14ac:dyDescent="0.25">
      <c r="B838" s="1"/>
    </row>
    <row r="839" spans="2:2" ht="14.25" customHeight="1" x14ac:dyDescent="0.25">
      <c r="B839" s="1"/>
    </row>
    <row r="840" spans="2:2" ht="14.25" customHeight="1" x14ac:dyDescent="0.25">
      <c r="B840" s="1"/>
    </row>
    <row r="841" spans="2:2" ht="14.25" customHeight="1" x14ac:dyDescent="0.25">
      <c r="B841" s="1"/>
    </row>
    <row r="842" spans="2:2" ht="14.25" customHeight="1" x14ac:dyDescent="0.25">
      <c r="B842" s="1"/>
    </row>
    <row r="843" spans="2:2" ht="14.25" customHeight="1" x14ac:dyDescent="0.25">
      <c r="B843" s="1"/>
    </row>
    <row r="844" spans="2:2" ht="14.25" customHeight="1" x14ac:dyDescent="0.25">
      <c r="B844" s="1"/>
    </row>
    <row r="845" spans="2:2" ht="14.25" customHeight="1" x14ac:dyDescent="0.25">
      <c r="B845" s="1"/>
    </row>
    <row r="846" spans="2:2" ht="14.25" customHeight="1" x14ac:dyDescent="0.25">
      <c r="B846" s="1"/>
    </row>
    <row r="847" spans="2:2" ht="14.25" customHeight="1" x14ac:dyDescent="0.25">
      <c r="B847" s="1"/>
    </row>
    <row r="848" spans="2:2" ht="14.25" customHeight="1" x14ac:dyDescent="0.25">
      <c r="B848" s="1"/>
    </row>
    <row r="849" spans="2:2" ht="14.25" customHeight="1" x14ac:dyDescent="0.25">
      <c r="B849" s="1"/>
    </row>
    <row r="850" spans="2:2" ht="14.25" customHeight="1" x14ac:dyDescent="0.25">
      <c r="B850" s="1"/>
    </row>
    <row r="851" spans="2:2" ht="14.25" customHeight="1" x14ac:dyDescent="0.25">
      <c r="B851" s="1"/>
    </row>
    <row r="852" spans="2:2" ht="14.25" customHeight="1" x14ac:dyDescent="0.25">
      <c r="B852" s="1"/>
    </row>
    <row r="853" spans="2:2" ht="14.25" customHeight="1" x14ac:dyDescent="0.25">
      <c r="B853" s="1"/>
    </row>
    <row r="854" spans="2:2" ht="14.25" customHeight="1" x14ac:dyDescent="0.25">
      <c r="B854" s="1"/>
    </row>
    <row r="855" spans="2:2" ht="14.25" customHeight="1" x14ac:dyDescent="0.25">
      <c r="B855" s="1"/>
    </row>
    <row r="856" spans="2:2" ht="14.25" customHeight="1" x14ac:dyDescent="0.25">
      <c r="B856" s="1"/>
    </row>
    <row r="857" spans="2:2" ht="14.25" customHeight="1" x14ac:dyDescent="0.25">
      <c r="B857" s="1"/>
    </row>
    <row r="858" spans="2:2" ht="14.25" customHeight="1" x14ac:dyDescent="0.25">
      <c r="B858" s="1"/>
    </row>
    <row r="859" spans="2:2" ht="14.25" customHeight="1" x14ac:dyDescent="0.25">
      <c r="B859" s="1"/>
    </row>
    <row r="860" spans="2:2" ht="14.25" customHeight="1" x14ac:dyDescent="0.25">
      <c r="B860" s="1"/>
    </row>
    <row r="861" spans="2:2" ht="14.25" customHeight="1" x14ac:dyDescent="0.25">
      <c r="B861" s="1"/>
    </row>
    <row r="862" spans="2:2" ht="14.25" customHeight="1" x14ac:dyDescent="0.25">
      <c r="B862" s="1"/>
    </row>
    <row r="863" spans="2:2" ht="14.25" customHeight="1" x14ac:dyDescent="0.25">
      <c r="B863" s="1"/>
    </row>
    <row r="864" spans="2:2" ht="14.25" customHeight="1" x14ac:dyDescent="0.25">
      <c r="B864" s="1"/>
    </row>
    <row r="865" spans="2:2" ht="14.25" customHeight="1" x14ac:dyDescent="0.25">
      <c r="B865" s="1"/>
    </row>
    <row r="866" spans="2:2" ht="14.25" customHeight="1" x14ac:dyDescent="0.25">
      <c r="B866" s="1"/>
    </row>
    <row r="867" spans="2:2" ht="14.25" customHeight="1" x14ac:dyDescent="0.25">
      <c r="B867" s="1"/>
    </row>
    <row r="868" spans="2:2" ht="14.25" customHeight="1" x14ac:dyDescent="0.25">
      <c r="B868" s="1"/>
    </row>
    <row r="869" spans="2:2" ht="14.25" customHeight="1" x14ac:dyDescent="0.25">
      <c r="B869" s="1"/>
    </row>
    <row r="870" spans="2:2" ht="14.25" customHeight="1" x14ac:dyDescent="0.25">
      <c r="B870" s="1"/>
    </row>
    <row r="871" spans="2:2" ht="14.25" customHeight="1" x14ac:dyDescent="0.25">
      <c r="B871" s="1"/>
    </row>
    <row r="872" spans="2:2" ht="14.25" customHeight="1" x14ac:dyDescent="0.25">
      <c r="B872" s="1"/>
    </row>
    <row r="873" spans="2:2" ht="14.25" customHeight="1" x14ac:dyDescent="0.25">
      <c r="B873" s="1"/>
    </row>
    <row r="874" spans="2:2" ht="14.25" customHeight="1" x14ac:dyDescent="0.25">
      <c r="B874" s="1"/>
    </row>
    <row r="875" spans="2:2" ht="14.25" customHeight="1" x14ac:dyDescent="0.25">
      <c r="B875" s="1"/>
    </row>
    <row r="876" spans="2:2" ht="14.25" customHeight="1" x14ac:dyDescent="0.25">
      <c r="B876" s="1"/>
    </row>
    <row r="877" spans="2:2" ht="14.25" customHeight="1" x14ac:dyDescent="0.25">
      <c r="B877" s="1"/>
    </row>
    <row r="878" spans="2:2" ht="14.25" customHeight="1" x14ac:dyDescent="0.25">
      <c r="B878" s="1"/>
    </row>
    <row r="879" spans="2:2" ht="14.25" customHeight="1" x14ac:dyDescent="0.25">
      <c r="B879" s="1"/>
    </row>
    <row r="880" spans="2:2" ht="14.25" customHeight="1" x14ac:dyDescent="0.25">
      <c r="B880" s="1"/>
    </row>
    <row r="881" spans="2:2" ht="14.25" customHeight="1" x14ac:dyDescent="0.25">
      <c r="B881" s="1"/>
    </row>
    <row r="882" spans="2:2" ht="14.25" customHeight="1" x14ac:dyDescent="0.25">
      <c r="B882" s="1"/>
    </row>
    <row r="883" spans="2:2" ht="14.25" customHeight="1" x14ac:dyDescent="0.25">
      <c r="B883" s="1"/>
    </row>
    <row r="884" spans="2:2" ht="14.25" customHeight="1" x14ac:dyDescent="0.25">
      <c r="B884" s="1"/>
    </row>
    <row r="885" spans="2:2" ht="14.25" customHeight="1" x14ac:dyDescent="0.25">
      <c r="B885" s="1"/>
    </row>
    <row r="886" spans="2:2" ht="14.25" customHeight="1" x14ac:dyDescent="0.25">
      <c r="B886" s="1"/>
    </row>
    <row r="887" spans="2:2" ht="14.25" customHeight="1" x14ac:dyDescent="0.25">
      <c r="B887" s="1"/>
    </row>
    <row r="888" spans="2:2" ht="14.25" customHeight="1" x14ac:dyDescent="0.25">
      <c r="B888" s="1"/>
    </row>
    <row r="889" spans="2:2" ht="14.25" customHeight="1" x14ac:dyDescent="0.25">
      <c r="B889" s="1"/>
    </row>
    <row r="890" spans="2:2" ht="14.25" customHeight="1" x14ac:dyDescent="0.25">
      <c r="B890" s="1"/>
    </row>
    <row r="891" spans="2:2" ht="14.25" customHeight="1" x14ac:dyDescent="0.25">
      <c r="B891" s="1"/>
    </row>
    <row r="892" spans="2:2" ht="14.25" customHeight="1" x14ac:dyDescent="0.25">
      <c r="B892" s="1"/>
    </row>
    <row r="893" spans="2:2" ht="14.25" customHeight="1" x14ac:dyDescent="0.25">
      <c r="B893" s="1"/>
    </row>
    <row r="894" spans="2:2" ht="14.25" customHeight="1" x14ac:dyDescent="0.25">
      <c r="B894" s="1"/>
    </row>
    <row r="895" spans="2:2" ht="14.25" customHeight="1" x14ac:dyDescent="0.25">
      <c r="B895" s="1"/>
    </row>
    <row r="896" spans="2:2" ht="14.25" customHeight="1" x14ac:dyDescent="0.25">
      <c r="B896" s="1"/>
    </row>
    <row r="897" spans="2:2" ht="14.25" customHeight="1" x14ac:dyDescent="0.25">
      <c r="B897" s="1"/>
    </row>
    <row r="898" spans="2:2" ht="14.25" customHeight="1" x14ac:dyDescent="0.25">
      <c r="B898" s="1"/>
    </row>
    <row r="899" spans="2:2" ht="14.25" customHeight="1" x14ac:dyDescent="0.25">
      <c r="B899" s="1"/>
    </row>
    <row r="900" spans="2:2" ht="14.25" customHeight="1" x14ac:dyDescent="0.25">
      <c r="B900" s="1"/>
    </row>
    <row r="901" spans="2:2" ht="14.25" customHeight="1" x14ac:dyDescent="0.25">
      <c r="B901" s="1"/>
    </row>
    <row r="902" spans="2:2" ht="14.25" customHeight="1" x14ac:dyDescent="0.25">
      <c r="B902" s="1"/>
    </row>
    <row r="903" spans="2:2" ht="14.25" customHeight="1" x14ac:dyDescent="0.25">
      <c r="B903" s="1"/>
    </row>
    <row r="904" spans="2:2" ht="14.25" customHeight="1" x14ac:dyDescent="0.25">
      <c r="B904" s="1"/>
    </row>
    <row r="905" spans="2:2" ht="14.25" customHeight="1" x14ac:dyDescent="0.25">
      <c r="B905" s="1"/>
    </row>
    <row r="906" spans="2:2" ht="14.25" customHeight="1" x14ac:dyDescent="0.25">
      <c r="B906" s="1"/>
    </row>
    <row r="907" spans="2:2" ht="14.25" customHeight="1" x14ac:dyDescent="0.25">
      <c r="B907" s="1"/>
    </row>
    <row r="908" spans="2:2" ht="14.25" customHeight="1" x14ac:dyDescent="0.25">
      <c r="B908" s="1"/>
    </row>
    <row r="909" spans="2:2" ht="14.25" customHeight="1" x14ac:dyDescent="0.25">
      <c r="B909" s="1"/>
    </row>
    <row r="910" spans="2:2" ht="14.25" customHeight="1" x14ac:dyDescent="0.25">
      <c r="B910" s="1"/>
    </row>
    <row r="911" spans="2:2" ht="14.25" customHeight="1" x14ac:dyDescent="0.25">
      <c r="B911" s="1"/>
    </row>
    <row r="912" spans="2:2" ht="14.25" customHeight="1" x14ac:dyDescent="0.25">
      <c r="B912" s="1"/>
    </row>
    <row r="913" spans="2:2" ht="14.25" customHeight="1" x14ac:dyDescent="0.25">
      <c r="B913" s="1"/>
    </row>
    <row r="914" spans="2:2" ht="14.25" customHeight="1" x14ac:dyDescent="0.25">
      <c r="B914" s="1"/>
    </row>
    <row r="915" spans="2:2" ht="14.25" customHeight="1" x14ac:dyDescent="0.25">
      <c r="B915" s="1"/>
    </row>
    <row r="916" spans="2:2" ht="14.25" customHeight="1" x14ac:dyDescent="0.25">
      <c r="B916" s="1"/>
    </row>
    <row r="917" spans="2:2" ht="14.25" customHeight="1" x14ac:dyDescent="0.25">
      <c r="B917" s="1"/>
    </row>
    <row r="918" spans="2:2" ht="14.25" customHeight="1" x14ac:dyDescent="0.25">
      <c r="B918" s="1"/>
    </row>
    <row r="919" spans="2:2" ht="14.25" customHeight="1" x14ac:dyDescent="0.25">
      <c r="B919" s="1"/>
    </row>
    <row r="920" spans="2:2" ht="14.25" customHeight="1" x14ac:dyDescent="0.25">
      <c r="B920" s="1"/>
    </row>
    <row r="921" spans="2:2" ht="14.25" customHeight="1" x14ac:dyDescent="0.25">
      <c r="B921" s="1"/>
    </row>
    <row r="922" spans="2:2" ht="14.25" customHeight="1" x14ac:dyDescent="0.25">
      <c r="B922" s="1"/>
    </row>
    <row r="923" spans="2:2" ht="14.25" customHeight="1" x14ac:dyDescent="0.25">
      <c r="B923" s="1"/>
    </row>
    <row r="924" spans="2:2" ht="14.25" customHeight="1" x14ac:dyDescent="0.25">
      <c r="B924" s="1"/>
    </row>
    <row r="925" spans="2:2" ht="14.25" customHeight="1" x14ac:dyDescent="0.25">
      <c r="B925" s="1"/>
    </row>
    <row r="926" spans="2:2" ht="14.25" customHeight="1" x14ac:dyDescent="0.25">
      <c r="B926" s="1"/>
    </row>
    <row r="927" spans="2:2" ht="14.25" customHeight="1" x14ac:dyDescent="0.25">
      <c r="B927" s="1"/>
    </row>
    <row r="928" spans="2:2" ht="14.25" customHeight="1" x14ac:dyDescent="0.25">
      <c r="B928" s="1"/>
    </row>
    <row r="929" spans="2:2" ht="14.25" customHeight="1" x14ac:dyDescent="0.25">
      <c r="B929" s="1"/>
    </row>
    <row r="930" spans="2:2" ht="14.25" customHeight="1" x14ac:dyDescent="0.25">
      <c r="B930" s="1"/>
    </row>
    <row r="931" spans="2:2" ht="14.25" customHeight="1" x14ac:dyDescent="0.25">
      <c r="B931" s="1"/>
    </row>
    <row r="932" spans="2:2" ht="14.25" customHeight="1" x14ac:dyDescent="0.25">
      <c r="B932" s="1"/>
    </row>
    <row r="933" spans="2:2" ht="14.25" customHeight="1" x14ac:dyDescent="0.25">
      <c r="B933" s="1"/>
    </row>
    <row r="934" spans="2:2" ht="14.25" customHeight="1" x14ac:dyDescent="0.25">
      <c r="B934" s="1"/>
    </row>
    <row r="935" spans="2:2" ht="14.25" customHeight="1" x14ac:dyDescent="0.25">
      <c r="B935" s="1"/>
    </row>
    <row r="936" spans="2:2" ht="14.25" customHeight="1" x14ac:dyDescent="0.25">
      <c r="B936" s="1"/>
    </row>
    <row r="937" spans="2:2" ht="14.25" customHeight="1" x14ac:dyDescent="0.25">
      <c r="B937" s="1"/>
    </row>
    <row r="938" spans="2:2" ht="14.25" customHeight="1" x14ac:dyDescent="0.25">
      <c r="B938" s="1"/>
    </row>
    <row r="939" spans="2:2" ht="14.25" customHeight="1" x14ac:dyDescent="0.25">
      <c r="B939" s="1"/>
    </row>
    <row r="940" spans="2:2" ht="14.25" customHeight="1" x14ac:dyDescent="0.25">
      <c r="B940" s="1"/>
    </row>
    <row r="941" spans="2:2" ht="14.25" customHeight="1" x14ac:dyDescent="0.25">
      <c r="B941" s="1"/>
    </row>
    <row r="942" spans="2:2" ht="14.25" customHeight="1" x14ac:dyDescent="0.25">
      <c r="B942" s="1"/>
    </row>
    <row r="943" spans="2:2" ht="14.25" customHeight="1" x14ac:dyDescent="0.25">
      <c r="B943" s="1"/>
    </row>
    <row r="944" spans="2:2" ht="14.25" customHeight="1" x14ac:dyDescent="0.25">
      <c r="B944" s="1"/>
    </row>
    <row r="945" spans="2:2" ht="14.25" customHeight="1" x14ac:dyDescent="0.25">
      <c r="B945" s="1"/>
    </row>
    <row r="946" spans="2:2" ht="14.25" customHeight="1" x14ac:dyDescent="0.25">
      <c r="B946" s="1"/>
    </row>
    <row r="947" spans="2:2" ht="14.25" customHeight="1" x14ac:dyDescent="0.25">
      <c r="B947" s="1"/>
    </row>
    <row r="948" spans="2:2" ht="14.25" customHeight="1" x14ac:dyDescent="0.25">
      <c r="B948" s="1"/>
    </row>
    <row r="949" spans="2:2" ht="14.25" customHeight="1" x14ac:dyDescent="0.25">
      <c r="B949" s="1"/>
    </row>
    <row r="950" spans="2:2" ht="14.25" customHeight="1" x14ac:dyDescent="0.25">
      <c r="B950" s="1"/>
    </row>
    <row r="951" spans="2:2" ht="14.25" customHeight="1" x14ac:dyDescent="0.25">
      <c r="B951" s="1"/>
    </row>
    <row r="952" spans="2:2" ht="14.25" customHeight="1" x14ac:dyDescent="0.25">
      <c r="B952" s="1"/>
    </row>
    <row r="953" spans="2:2" ht="14.25" customHeight="1" x14ac:dyDescent="0.25">
      <c r="B953" s="1"/>
    </row>
    <row r="954" spans="2:2" ht="14.25" customHeight="1" x14ac:dyDescent="0.25">
      <c r="B954" s="1"/>
    </row>
    <row r="955" spans="2:2" ht="14.25" customHeight="1" x14ac:dyDescent="0.25">
      <c r="B955" s="1"/>
    </row>
    <row r="956" spans="2:2" ht="14.25" customHeight="1" x14ac:dyDescent="0.25">
      <c r="B956" s="1"/>
    </row>
    <row r="957" spans="2:2" ht="14.25" customHeight="1" x14ac:dyDescent="0.25">
      <c r="B957" s="1"/>
    </row>
    <row r="958" spans="2:2" ht="14.25" customHeight="1" x14ac:dyDescent="0.25">
      <c r="B958" s="1"/>
    </row>
    <row r="959" spans="2:2" ht="14.25" customHeight="1" x14ac:dyDescent="0.25">
      <c r="B959" s="1"/>
    </row>
    <row r="960" spans="2:2" ht="14.25" customHeight="1" x14ac:dyDescent="0.25">
      <c r="B960" s="1"/>
    </row>
    <row r="961" spans="2:2" ht="14.25" customHeight="1" x14ac:dyDescent="0.25">
      <c r="B961" s="1"/>
    </row>
    <row r="962" spans="2:2" ht="14.25" customHeight="1" x14ac:dyDescent="0.25">
      <c r="B962" s="1"/>
    </row>
    <row r="963" spans="2:2" ht="14.25" customHeight="1" x14ac:dyDescent="0.25">
      <c r="B963" s="1"/>
    </row>
    <row r="964" spans="2:2" ht="14.25" customHeight="1" x14ac:dyDescent="0.25">
      <c r="B964" s="1"/>
    </row>
    <row r="965" spans="2:2" ht="14.25" customHeight="1" x14ac:dyDescent="0.25">
      <c r="B965" s="1"/>
    </row>
    <row r="966" spans="2:2" ht="14.25" customHeight="1" x14ac:dyDescent="0.25">
      <c r="B966" s="1"/>
    </row>
    <row r="967" spans="2:2" ht="14.25" customHeight="1" x14ac:dyDescent="0.25">
      <c r="B967" s="1"/>
    </row>
    <row r="968" spans="2:2" ht="14.25" customHeight="1" x14ac:dyDescent="0.25">
      <c r="B968" s="1"/>
    </row>
    <row r="969" spans="2:2" ht="14.25" customHeight="1" x14ac:dyDescent="0.25">
      <c r="B969" s="1"/>
    </row>
    <row r="970" spans="2:2" ht="14.25" customHeight="1" x14ac:dyDescent="0.25">
      <c r="B970" s="1"/>
    </row>
    <row r="971" spans="2:2" ht="14.25" customHeight="1" x14ac:dyDescent="0.25">
      <c r="B971" s="1"/>
    </row>
    <row r="972" spans="2:2" ht="14.25" customHeight="1" x14ac:dyDescent="0.25">
      <c r="B972" s="1"/>
    </row>
    <row r="973" spans="2:2" ht="14.25" customHeight="1" x14ac:dyDescent="0.25">
      <c r="B973" s="1"/>
    </row>
    <row r="974" spans="2:2" ht="14.25" customHeight="1" x14ac:dyDescent="0.25">
      <c r="B974" s="1"/>
    </row>
    <row r="975" spans="2:2" ht="14.25" customHeight="1" x14ac:dyDescent="0.25">
      <c r="B975" s="1"/>
    </row>
    <row r="976" spans="2:2" ht="14.25" customHeight="1" x14ac:dyDescent="0.25">
      <c r="B976" s="1"/>
    </row>
    <row r="977" spans="2:2" ht="14.25" customHeight="1" x14ac:dyDescent="0.25">
      <c r="B977" s="1"/>
    </row>
    <row r="978" spans="2:2" ht="14.25" customHeight="1" x14ac:dyDescent="0.25">
      <c r="B978" s="1"/>
    </row>
    <row r="979" spans="2:2" ht="14.25" customHeight="1" x14ac:dyDescent="0.25">
      <c r="B979" s="1"/>
    </row>
    <row r="980" spans="2:2" ht="14.25" customHeight="1" x14ac:dyDescent="0.25">
      <c r="B980" s="1"/>
    </row>
    <row r="981" spans="2:2" ht="14.25" customHeight="1" x14ac:dyDescent="0.25">
      <c r="B981" s="1"/>
    </row>
    <row r="982" spans="2:2" ht="14.25" customHeight="1" x14ac:dyDescent="0.25">
      <c r="B982" s="1"/>
    </row>
    <row r="983" spans="2:2" ht="14.25" customHeight="1" x14ac:dyDescent="0.25">
      <c r="B983" s="1"/>
    </row>
    <row r="984" spans="2:2" ht="14.25" customHeight="1" x14ac:dyDescent="0.25">
      <c r="B984" s="1"/>
    </row>
    <row r="985" spans="2:2" ht="14.25" customHeight="1" x14ac:dyDescent="0.25">
      <c r="B985" s="1"/>
    </row>
    <row r="986" spans="2:2" ht="14.25" customHeight="1" x14ac:dyDescent="0.25">
      <c r="B986" s="1"/>
    </row>
    <row r="987" spans="2:2" ht="14.25" customHeight="1" x14ac:dyDescent="0.25">
      <c r="B987" s="1"/>
    </row>
    <row r="988" spans="2:2" ht="14.25" customHeight="1" x14ac:dyDescent="0.25">
      <c r="B988" s="1"/>
    </row>
    <row r="989" spans="2:2" ht="14.25" customHeight="1" x14ac:dyDescent="0.25">
      <c r="B989" s="1"/>
    </row>
    <row r="990" spans="2:2" ht="14.25" customHeight="1" x14ac:dyDescent="0.25">
      <c r="B990" s="1"/>
    </row>
    <row r="991" spans="2:2" ht="14.25" customHeight="1" x14ac:dyDescent="0.25">
      <c r="B991" s="1"/>
    </row>
    <row r="992" spans="2:2" ht="14.25" customHeight="1" x14ac:dyDescent="0.25">
      <c r="B992" s="1"/>
    </row>
    <row r="993" spans="2:2" ht="14.25" customHeight="1" x14ac:dyDescent="0.25">
      <c r="B993" s="1"/>
    </row>
    <row r="994" spans="2:2" ht="14.25" customHeight="1" x14ac:dyDescent="0.25">
      <c r="B994" s="1"/>
    </row>
    <row r="995" spans="2:2" ht="14.25" customHeight="1" x14ac:dyDescent="0.25">
      <c r="B995" s="1"/>
    </row>
    <row r="996" spans="2:2" ht="14.25" customHeight="1" x14ac:dyDescent="0.25">
      <c r="B996" s="1"/>
    </row>
  </sheetData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7DF65-F27B-469B-A3D1-43F259EE68D3}">
  <dimension ref="A1:C163"/>
  <sheetViews>
    <sheetView topLeftCell="A148" workbookViewId="0">
      <selection activeCell="A162" sqref="A162"/>
    </sheetView>
  </sheetViews>
  <sheetFormatPr defaultRowHeight="15" x14ac:dyDescent="0.25"/>
  <cols>
    <col min="2" max="2" width="17.85546875" customWidth="1"/>
    <col min="5" max="5" width="17.7109375" customWidth="1"/>
  </cols>
  <sheetData>
    <row r="1" spans="1:3" x14ac:dyDescent="0.25">
      <c r="B1" s="1"/>
      <c r="C1" t="s">
        <v>0</v>
      </c>
    </row>
    <row r="2" spans="1:3" x14ac:dyDescent="0.25">
      <c r="B2" s="1" t="s">
        <v>1</v>
      </c>
      <c r="C2">
        <f>AVERAGE(C48:C162)</f>
        <v>40.715596330275233</v>
      </c>
    </row>
    <row r="3" spans="1:3" x14ac:dyDescent="0.25">
      <c r="B3" s="1" t="s">
        <v>2</v>
      </c>
      <c r="C3">
        <f>MEDIAN(C48:C162)</f>
        <v>31</v>
      </c>
    </row>
    <row r="4" spans="1:3" x14ac:dyDescent="0.25">
      <c r="B4" s="1" t="s">
        <v>3</v>
      </c>
      <c r="C4">
        <f>STDEV(C48:C162)</f>
        <v>42.470925074978425</v>
      </c>
    </row>
    <row r="5" spans="1:3" x14ac:dyDescent="0.25">
      <c r="A5" t="s">
        <v>4</v>
      </c>
      <c r="B5" s="1" t="s">
        <v>5</v>
      </c>
    </row>
    <row r="6" spans="1:3" x14ac:dyDescent="0.25">
      <c r="A6" t="s">
        <v>195</v>
      </c>
      <c r="B6" s="4">
        <v>41448</v>
      </c>
      <c r="C6">
        <f>DATEDIF(B6,B7,"d")</f>
        <v>4</v>
      </c>
    </row>
    <row r="7" spans="1:3" x14ac:dyDescent="0.25">
      <c r="A7" t="s">
        <v>196</v>
      </c>
      <c r="B7" s="4">
        <v>41452</v>
      </c>
      <c r="C7">
        <f t="shared" ref="C7:C70" si="0">DATEDIF(B7,B8,"d")</f>
        <v>0</v>
      </c>
    </row>
    <row r="8" spans="1:3" x14ac:dyDescent="0.25">
      <c r="A8" t="s">
        <v>197</v>
      </c>
      <c r="B8" s="4">
        <v>41452</v>
      </c>
      <c r="C8">
        <f t="shared" si="0"/>
        <v>0</v>
      </c>
    </row>
    <row r="9" spans="1:3" x14ac:dyDescent="0.25">
      <c r="A9" t="s">
        <v>198</v>
      </c>
      <c r="B9" s="4">
        <v>41452</v>
      </c>
      <c r="C9">
        <f t="shared" si="0"/>
        <v>0</v>
      </c>
    </row>
    <row r="10" spans="1:3" x14ac:dyDescent="0.25">
      <c r="A10" t="s">
        <v>199</v>
      </c>
      <c r="B10" s="4">
        <v>41452</v>
      </c>
      <c r="C10">
        <f t="shared" si="0"/>
        <v>0</v>
      </c>
    </row>
    <row r="11" spans="1:3" x14ac:dyDescent="0.25">
      <c r="A11" t="s">
        <v>200</v>
      </c>
      <c r="B11" s="4">
        <v>41452</v>
      </c>
    </row>
    <row r="12" spans="1:3" x14ac:dyDescent="0.25">
      <c r="A12" t="s">
        <v>201</v>
      </c>
      <c r="B12" s="4">
        <v>41448</v>
      </c>
      <c r="C12">
        <f t="shared" si="0"/>
        <v>4</v>
      </c>
    </row>
    <row r="13" spans="1:3" x14ac:dyDescent="0.25">
      <c r="A13" t="s">
        <v>202</v>
      </c>
      <c r="B13" s="4">
        <v>41452</v>
      </c>
      <c r="C13">
        <f t="shared" si="0"/>
        <v>0</v>
      </c>
    </row>
    <row r="14" spans="1:3" x14ac:dyDescent="0.25">
      <c r="A14" t="s">
        <v>203</v>
      </c>
      <c r="B14" s="4">
        <v>41452</v>
      </c>
      <c r="C14">
        <f t="shared" si="0"/>
        <v>0</v>
      </c>
    </row>
    <row r="15" spans="1:3" x14ac:dyDescent="0.25">
      <c r="A15" t="s">
        <v>204</v>
      </c>
      <c r="B15" s="4">
        <v>41452</v>
      </c>
      <c r="C15">
        <f t="shared" si="0"/>
        <v>0</v>
      </c>
    </row>
    <row r="16" spans="1:3" x14ac:dyDescent="0.25">
      <c r="A16" t="s">
        <v>205</v>
      </c>
      <c r="B16" s="4">
        <v>41452</v>
      </c>
      <c r="C16">
        <f t="shared" si="0"/>
        <v>0</v>
      </c>
    </row>
    <row r="17" spans="1:3" x14ac:dyDescent="0.25">
      <c r="A17" t="s">
        <v>206</v>
      </c>
      <c r="B17" s="4">
        <v>41452</v>
      </c>
      <c r="C17">
        <f t="shared" si="0"/>
        <v>0</v>
      </c>
    </row>
    <row r="18" spans="1:3" x14ac:dyDescent="0.25">
      <c r="A18" t="s">
        <v>207</v>
      </c>
      <c r="B18" s="4">
        <v>41452</v>
      </c>
      <c r="C18">
        <f t="shared" si="0"/>
        <v>0</v>
      </c>
    </row>
    <row r="19" spans="1:3" x14ac:dyDescent="0.25">
      <c r="A19" t="s">
        <v>846</v>
      </c>
      <c r="B19" s="4">
        <v>41452</v>
      </c>
      <c r="C19">
        <f t="shared" si="0"/>
        <v>0</v>
      </c>
    </row>
    <row r="20" spans="1:3" x14ac:dyDescent="0.25">
      <c r="A20" t="s">
        <v>209</v>
      </c>
      <c r="B20" s="4">
        <v>41452</v>
      </c>
      <c r="C20">
        <f t="shared" si="0"/>
        <v>0</v>
      </c>
    </row>
    <row r="21" spans="1:3" x14ac:dyDescent="0.25">
      <c r="A21" t="s">
        <v>210</v>
      </c>
      <c r="B21" s="4">
        <v>41452</v>
      </c>
      <c r="C21">
        <f t="shared" si="0"/>
        <v>0</v>
      </c>
    </row>
    <row r="22" spans="1:3" x14ac:dyDescent="0.25">
      <c r="A22" t="s">
        <v>211</v>
      </c>
      <c r="B22" s="4">
        <v>41452</v>
      </c>
      <c r="C22">
        <f t="shared" si="0"/>
        <v>0</v>
      </c>
    </row>
    <row r="23" spans="1:3" x14ac:dyDescent="0.25">
      <c r="A23" t="s">
        <v>212</v>
      </c>
      <c r="B23" s="4">
        <v>41452</v>
      </c>
      <c r="C23">
        <f t="shared" si="0"/>
        <v>0</v>
      </c>
    </row>
    <row r="24" spans="1:3" x14ac:dyDescent="0.25">
      <c r="A24" t="s">
        <v>213</v>
      </c>
      <c r="B24" s="4">
        <v>41452</v>
      </c>
      <c r="C24">
        <f t="shared" si="0"/>
        <v>0</v>
      </c>
    </row>
    <row r="25" spans="1:3" x14ac:dyDescent="0.25">
      <c r="A25" t="s">
        <v>214</v>
      </c>
      <c r="B25" s="4">
        <v>41452</v>
      </c>
      <c r="C25">
        <f t="shared" si="0"/>
        <v>0</v>
      </c>
    </row>
    <row r="26" spans="1:3" x14ac:dyDescent="0.25">
      <c r="A26" t="s">
        <v>215</v>
      </c>
      <c r="B26" s="4">
        <v>41452</v>
      </c>
      <c r="C26">
        <f t="shared" si="0"/>
        <v>0</v>
      </c>
    </row>
    <row r="27" spans="1:3" x14ac:dyDescent="0.25">
      <c r="A27" t="s">
        <v>216</v>
      </c>
      <c r="B27" s="4">
        <v>41452</v>
      </c>
      <c r="C27">
        <f t="shared" si="0"/>
        <v>0</v>
      </c>
    </row>
    <row r="28" spans="1:3" x14ac:dyDescent="0.25">
      <c r="A28" t="s">
        <v>217</v>
      </c>
      <c r="B28" s="4">
        <v>41452</v>
      </c>
      <c r="C28">
        <f t="shared" si="0"/>
        <v>0</v>
      </c>
    </row>
    <row r="29" spans="1:3" x14ac:dyDescent="0.25">
      <c r="A29" t="s">
        <v>218</v>
      </c>
      <c r="B29" s="4">
        <v>41452</v>
      </c>
      <c r="C29">
        <f t="shared" si="0"/>
        <v>0</v>
      </c>
    </row>
    <row r="30" spans="1:3" x14ac:dyDescent="0.25">
      <c r="A30" t="s">
        <v>219</v>
      </c>
      <c r="B30" s="4">
        <v>41452</v>
      </c>
      <c r="C30">
        <f t="shared" si="0"/>
        <v>0</v>
      </c>
    </row>
    <row r="31" spans="1:3" x14ac:dyDescent="0.25">
      <c r="A31" t="s">
        <v>220</v>
      </c>
      <c r="B31" s="4">
        <v>41452</v>
      </c>
      <c r="C31">
        <f t="shared" si="0"/>
        <v>0</v>
      </c>
    </row>
    <row r="32" spans="1:3" x14ac:dyDescent="0.25">
      <c r="A32" t="s">
        <v>221</v>
      </c>
      <c r="B32" s="4">
        <v>41452</v>
      </c>
      <c r="C32">
        <f t="shared" si="0"/>
        <v>0</v>
      </c>
    </row>
    <row r="33" spans="1:3" x14ac:dyDescent="0.25">
      <c r="A33" t="s">
        <v>222</v>
      </c>
      <c r="B33" s="4">
        <v>41452</v>
      </c>
      <c r="C33">
        <f t="shared" si="0"/>
        <v>0</v>
      </c>
    </row>
    <row r="34" spans="1:3" x14ac:dyDescent="0.25">
      <c r="A34" t="s">
        <v>223</v>
      </c>
      <c r="B34" s="4">
        <v>41452</v>
      </c>
      <c r="C34">
        <f t="shared" si="0"/>
        <v>0</v>
      </c>
    </row>
    <row r="35" spans="1:3" x14ac:dyDescent="0.25">
      <c r="A35" t="s">
        <v>224</v>
      </c>
      <c r="B35" s="4">
        <v>41452</v>
      </c>
      <c r="C35">
        <f t="shared" si="0"/>
        <v>0</v>
      </c>
    </row>
    <row r="36" spans="1:3" x14ac:dyDescent="0.25">
      <c r="A36" t="s">
        <v>225</v>
      </c>
      <c r="B36" s="4">
        <v>41452</v>
      </c>
      <c r="C36">
        <f t="shared" si="0"/>
        <v>0</v>
      </c>
    </row>
    <row r="37" spans="1:3" x14ac:dyDescent="0.25">
      <c r="A37" t="s">
        <v>226</v>
      </c>
      <c r="B37" s="4">
        <v>41452</v>
      </c>
      <c r="C37">
        <f t="shared" si="0"/>
        <v>0</v>
      </c>
    </row>
    <row r="38" spans="1:3" x14ac:dyDescent="0.25">
      <c r="A38" t="s">
        <v>227</v>
      </c>
      <c r="B38" s="4">
        <v>41452</v>
      </c>
      <c r="C38">
        <f t="shared" si="0"/>
        <v>0</v>
      </c>
    </row>
    <row r="39" spans="1:3" x14ac:dyDescent="0.25">
      <c r="A39" t="s">
        <v>228</v>
      </c>
      <c r="B39" s="4">
        <v>41452</v>
      </c>
      <c r="C39">
        <f t="shared" si="0"/>
        <v>0</v>
      </c>
    </row>
    <row r="40" spans="1:3" x14ac:dyDescent="0.25">
      <c r="A40" t="s">
        <v>229</v>
      </c>
      <c r="B40" s="4">
        <v>41452</v>
      </c>
      <c r="C40">
        <f t="shared" si="0"/>
        <v>0</v>
      </c>
    </row>
    <row r="41" spans="1:3" x14ac:dyDescent="0.25">
      <c r="A41" t="s">
        <v>240</v>
      </c>
      <c r="B41" s="4">
        <v>41452</v>
      </c>
      <c r="C41">
        <f t="shared" si="0"/>
        <v>0</v>
      </c>
    </row>
    <row r="42" spans="1:3" x14ac:dyDescent="0.25">
      <c r="A42" t="s">
        <v>241</v>
      </c>
      <c r="B42" s="4">
        <v>41452</v>
      </c>
      <c r="C42">
        <f t="shared" si="0"/>
        <v>0</v>
      </c>
    </row>
    <row r="43" spans="1:3" x14ac:dyDescent="0.25">
      <c r="A43" t="s">
        <v>230</v>
      </c>
      <c r="B43" s="4">
        <v>41452</v>
      </c>
      <c r="C43">
        <f t="shared" si="0"/>
        <v>0</v>
      </c>
    </row>
    <row r="44" spans="1:3" x14ac:dyDescent="0.25">
      <c r="A44" t="s">
        <v>231</v>
      </c>
      <c r="B44" s="4">
        <v>41452</v>
      </c>
      <c r="C44">
        <f t="shared" si="0"/>
        <v>0</v>
      </c>
    </row>
    <row r="45" spans="1:3" x14ac:dyDescent="0.25">
      <c r="A45" t="s">
        <v>232</v>
      </c>
      <c r="B45" s="4">
        <v>41452</v>
      </c>
      <c r="C45">
        <f t="shared" si="0"/>
        <v>0</v>
      </c>
    </row>
    <row r="46" spans="1:3" x14ac:dyDescent="0.25">
      <c r="A46" t="s">
        <v>233</v>
      </c>
      <c r="B46" s="4">
        <v>41452</v>
      </c>
      <c r="C46">
        <f t="shared" si="0"/>
        <v>0</v>
      </c>
    </row>
    <row r="47" spans="1:3" x14ac:dyDescent="0.25">
      <c r="A47" t="s">
        <v>234</v>
      </c>
      <c r="B47" s="4">
        <v>41452</v>
      </c>
      <c r="C47">
        <f t="shared" si="0"/>
        <v>0</v>
      </c>
    </row>
    <row r="48" spans="1:3" x14ac:dyDescent="0.25">
      <c r="A48" t="s">
        <v>235</v>
      </c>
      <c r="B48" s="4">
        <v>41452</v>
      </c>
      <c r="C48">
        <f t="shared" si="0"/>
        <v>0</v>
      </c>
    </row>
    <row r="49" spans="1:3" x14ac:dyDescent="0.25">
      <c r="A49" t="s">
        <v>236</v>
      </c>
      <c r="B49" s="4">
        <v>41452</v>
      </c>
      <c r="C49">
        <f t="shared" si="0"/>
        <v>159</v>
      </c>
    </row>
    <row r="50" spans="1:3" x14ac:dyDescent="0.25">
      <c r="A50" t="s">
        <v>237</v>
      </c>
      <c r="B50" s="4">
        <v>41611</v>
      </c>
      <c r="C50">
        <f t="shared" si="0"/>
        <v>99</v>
      </c>
    </row>
    <row r="51" spans="1:3" x14ac:dyDescent="0.25">
      <c r="A51" t="s">
        <v>238</v>
      </c>
      <c r="B51" s="4">
        <v>41710</v>
      </c>
      <c r="C51">
        <f t="shared" si="0"/>
        <v>49</v>
      </c>
    </row>
    <row r="52" spans="1:3" x14ac:dyDescent="0.25">
      <c r="A52" t="s">
        <v>239</v>
      </c>
      <c r="B52" s="4">
        <v>41759</v>
      </c>
    </row>
    <row r="53" spans="1:3" x14ac:dyDescent="0.25">
      <c r="A53" t="s">
        <v>242</v>
      </c>
      <c r="B53" s="4">
        <v>41522</v>
      </c>
      <c r="C53">
        <f t="shared" si="0"/>
        <v>237</v>
      </c>
    </row>
    <row r="54" spans="1:3" x14ac:dyDescent="0.25">
      <c r="A54" t="s">
        <v>243</v>
      </c>
      <c r="B54" s="4">
        <v>41759</v>
      </c>
    </row>
    <row r="55" spans="1:3" x14ac:dyDescent="0.25">
      <c r="A55" t="s">
        <v>244</v>
      </c>
      <c r="B55" s="4">
        <v>41585</v>
      </c>
      <c r="C55">
        <f t="shared" si="0"/>
        <v>174</v>
      </c>
    </row>
    <row r="56" spans="1:3" x14ac:dyDescent="0.25">
      <c r="A56" t="s">
        <v>272</v>
      </c>
      <c r="B56" s="4">
        <v>41759</v>
      </c>
    </row>
    <row r="57" spans="1:3" x14ac:dyDescent="0.25">
      <c r="A57" t="s">
        <v>245</v>
      </c>
      <c r="B57" s="4">
        <v>41630</v>
      </c>
      <c r="C57">
        <f t="shared" si="0"/>
        <v>129</v>
      </c>
    </row>
    <row r="58" spans="1:3" x14ac:dyDescent="0.25">
      <c r="A58" t="s">
        <v>246</v>
      </c>
      <c r="B58" s="4">
        <v>41759</v>
      </c>
      <c r="C58">
        <f t="shared" si="0"/>
        <v>42</v>
      </c>
    </row>
    <row r="59" spans="1:3" x14ac:dyDescent="0.25">
      <c r="A59" t="s">
        <v>247</v>
      </c>
      <c r="B59" s="4">
        <v>41801</v>
      </c>
      <c r="C59">
        <f t="shared" si="0"/>
        <v>56</v>
      </c>
    </row>
    <row r="60" spans="1:3" x14ac:dyDescent="0.25">
      <c r="A60" t="s">
        <v>248</v>
      </c>
      <c r="B60" s="4">
        <v>41857</v>
      </c>
      <c r="C60">
        <f t="shared" si="0"/>
        <v>20</v>
      </c>
    </row>
    <row r="61" spans="1:3" x14ac:dyDescent="0.25">
      <c r="A61" t="s">
        <v>249</v>
      </c>
      <c r="B61" s="4">
        <v>41877</v>
      </c>
      <c r="C61">
        <f t="shared" si="0"/>
        <v>65</v>
      </c>
    </row>
    <row r="62" spans="1:3" x14ac:dyDescent="0.25">
      <c r="A62" t="s">
        <v>250</v>
      </c>
      <c r="B62" s="4">
        <v>41942</v>
      </c>
      <c r="C62">
        <f t="shared" si="0"/>
        <v>48</v>
      </c>
    </row>
    <row r="63" spans="1:3" x14ac:dyDescent="0.25">
      <c r="A63" t="s">
        <v>251</v>
      </c>
      <c r="B63" s="4">
        <v>41990</v>
      </c>
      <c r="C63">
        <f t="shared" si="0"/>
        <v>81</v>
      </c>
    </row>
    <row r="64" spans="1:3" x14ac:dyDescent="0.25">
      <c r="A64" t="s">
        <v>252</v>
      </c>
      <c r="B64" s="4">
        <v>42071</v>
      </c>
      <c r="C64">
        <f t="shared" si="0"/>
        <v>61</v>
      </c>
    </row>
    <row r="65" spans="1:3" x14ac:dyDescent="0.25">
      <c r="A65" t="s">
        <v>253</v>
      </c>
      <c r="B65" s="4">
        <v>42132</v>
      </c>
      <c r="C65">
        <f t="shared" si="0"/>
        <v>74</v>
      </c>
    </row>
    <row r="66" spans="1:3" x14ac:dyDescent="0.25">
      <c r="A66" t="s">
        <v>254</v>
      </c>
      <c r="B66" s="4">
        <v>42206</v>
      </c>
    </row>
    <row r="67" spans="1:3" x14ac:dyDescent="0.25">
      <c r="A67" t="s">
        <v>284</v>
      </c>
      <c r="B67" s="4">
        <v>41990</v>
      </c>
      <c r="C67">
        <f t="shared" si="0"/>
        <v>96</v>
      </c>
    </row>
    <row r="68" spans="1:3" x14ac:dyDescent="0.25">
      <c r="A68" t="s">
        <v>285</v>
      </c>
      <c r="B68" s="4">
        <v>42086</v>
      </c>
      <c r="C68">
        <f t="shared" si="0"/>
        <v>46</v>
      </c>
    </row>
    <row r="69" spans="1:3" x14ac:dyDescent="0.25">
      <c r="A69" t="s">
        <v>286</v>
      </c>
      <c r="B69" s="4">
        <v>42132</v>
      </c>
      <c r="C69">
        <f t="shared" si="0"/>
        <v>0</v>
      </c>
    </row>
    <row r="70" spans="1:3" x14ac:dyDescent="0.25">
      <c r="A70" t="s">
        <v>287</v>
      </c>
      <c r="B70" s="4">
        <v>42132</v>
      </c>
      <c r="C70">
        <f t="shared" si="0"/>
        <v>53</v>
      </c>
    </row>
    <row r="71" spans="1:3" x14ac:dyDescent="0.25">
      <c r="A71" t="s">
        <v>288</v>
      </c>
      <c r="B71" s="4">
        <v>42185</v>
      </c>
      <c r="C71">
        <f t="shared" ref="C71:C134" si="1">DATEDIF(B71,B72,"d")</f>
        <v>105</v>
      </c>
    </row>
    <row r="72" spans="1:3" x14ac:dyDescent="0.25">
      <c r="A72" t="s">
        <v>289</v>
      </c>
      <c r="B72" s="4">
        <v>42290</v>
      </c>
      <c r="C72">
        <f t="shared" si="1"/>
        <v>260</v>
      </c>
    </row>
    <row r="73" spans="1:3" x14ac:dyDescent="0.25">
      <c r="A73" t="s">
        <v>290</v>
      </c>
      <c r="B73" s="4">
        <v>42550</v>
      </c>
    </row>
    <row r="74" spans="1:3" x14ac:dyDescent="0.25">
      <c r="A74" t="s">
        <v>255</v>
      </c>
      <c r="B74" s="4">
        <v>41470</v>
      </c>
      <c r="C74">
        <f t="shared" si="1"/>
        <v>1</v>
      </c>
    </row>
    <row r="75" spans="1:3" x14ac:dyDescent="0.25">
      <c r="A75" t="s">
        <v>256</v>
      </c>
      <c r="B75" s="4">
        <v>41471</v>
      </c>
      <c r="C75">
        <f t="shared" si="1"/>
        <v>2</v>
      </c>
    </row>
    <row r="76" spans="1:3" x14ac:dyDescent="0.25">
      <c r="A76" t="s">
        <v>257</v>
      </c>
      <c r="B76" s="4">
        <v>41473</v>
      </c>
      <c r="C76">
        <f t="shared" si="1"/>
        <v>0</v>
      </c>
    </row>
    <row r="77" spans="1:3" x14ac:dyDescent="0.25">
      <c r="A77" t="s">
        <v>258</v>
      </c>
      <c r="B77" s="4">
        <v>41473</v>
      </c>
      <c r="C77">
        <f t="shared" si="1"/>
        <v>5</v>
      </c>
    </row>
    <row r="78" spans="1:3" x14ac:dyDescent="0.25">
      <c r="A78" t="s">
        <v>259</v>
      </c>
      <c r="B78" s="4">
        <v>41478</v>
      </c>
      <c r="C78">
        <f t="shared" si="1"/>
        <v>8</v>
      </c>
    </row>
    <row r="79" spans="1:3" x14ac:dyDescent="0.25">
      <c r="A79" t="s">
        <v>260</v>
      </c>
      <c r="B79" s="4">
        <v>41486</v>
      </c>
      <c r="C79">
        <f t="shared" si="1"/>
        <v>1</v>
      </c>
    </row>
    <row r="80" spans="1:3" x14ac:dyDescent="0.25">
      <c r="A80" t="s">
        <v>261</v>
      </c>
      <c r="B80" s="4">
        <v>41487</v>
      </c>
      <c r="C80">
        <f t="shared" si="1"/>
        <v>6</v>
      </c>
    </row>
    <row r="81" spans="1:3" x14ac:dyDescent="0.25">
      <c r="A81" t="s">
        <v>262</v>
      </c>
      <c r="B81" s="4">
        <v>41493</v>
      </c>
      <c r="C81">
        <f t="shared" si="1"/>
        <v>19</v>
      </c>
    </row>
    <row r="82" spans="1:3" x14ac:dyDescent="0.25">
      <c r="A82" t="s">
        <v>263</v>
      </c>
      <c r="B82" s="4">
        <v>41512</v>
      </c>
      <c r="C82">
        <f t="shared" si="1"/>
        <v>73</v>
      </c>
    </row>
    <row r="83" spans="1:3" x14ac:dyDescent="0.25">
      <c r="A83" t="s">
        <v>264</v>
      </c>
      <c r="B83" s="4">
        <v>41585</v>
      </c>
      <c r="C83">
        <f t="shared" si="1"/>
        <v>0</v>
      </c>
    </row>
    <row r="84" spans="1:3" x14ac:dyDescent="0.25">
      <c r="A84" t="s">
        <v>265</v>
      </c>
      <c r="B84" s="4">
        <v>41585</v>
      </c>
      <c r="C84">
        <f t="shared" si="1"/>
        <v>0</v>
      </c>
    </row>
    <row r="85" spans="1:3" x14ac:dyDescent="0.25">
      <c r="A85" t="s">
        <v>266</v>
      </c>
      <c r="B85" s="4">
        <v>41585</v>
      </c>
      <c r="C85">
        <f t="shared" si="1"/>
        <v>1</v>
      </c>
    </row>
    <row r="86" spans="1:3" x14ac:dyDescent="0.25">
      <c r="A86" t="s">
        <v>267</v>
      </c>
      <c r="B86" s="4">
        <v>41586</v>
      </c>
      <c r="C86">
        <f t="shared" si="1"/>
        <v>21</v>
      </c>
    </row>
    <row r="87" spans="1:3" x14ac:dyDescent="0.25">
      <c r="A87" t="s">
        <v>268</v>
      </c>
      <c r="B87" s="4">
        <v>41607</v>
      </c>
      <c r="C87">
        <f t="shared" si="1"/>
        <v>23</v>
      </c>
    </row>
    <row r="88" spans="1:3" x14ac:dyDescent="0.25">
      <c r="A88" t="s">
        <v>269</v>
      </c>
      <c r="B88" s="4">
        <v>41630</v>
      </c>
      <c r="C88">
        <f t="shared" si="1"/>
        <v>30</v>
      </c>
    </row>
    <row r="89" spans="1:3" x14ac:dyDescent="0.25">
      <c r="A89" t="s">
        <v>270</v>
      </c>
      <c r="B89" s="4">
        <v>41660</v>
      </c>
      <c r="C89">
        <f t="shared" si="1"/>
        <v>30</v>
      </c>
    </row>
    <row r="90" spans="1:3" x14ac:dyDescent="0.25">
      <c r="A90" t="s">
        <v>847</v>
      </c>
      <c r="B90" s="10">
        <v>41690</v>
      </c>
      <c r="C90">
        <f t="shared" si="1"/>
        <v>5</v>
      </c>
    </row>
    <row r="91" spans="1:3" x14ac:dyDescent="0.25">
      <c r="A91" t="s">
        <v>271</v>
      </c>
      <c r="B91" s="4">
        <v>41695</v>
      </c>
      <c r="C91">
        <f t="shared" si="1"/>
        <v>35</v>
      </c>
    </row>
    <row r="92" spans="1:3" x14ac:dyDescent="0.25">
      <c r="A92" t="s">
        <v>273</v>
      </c>
      <c r="B92" s="4">
        <v>41730</v>
      </c>
      <c r="C92">
        <f t="shared" si="1"/>
        <v>29</v>
      </c>
    </row>
    <row r="93" spans="1:3" x14ac:dyDescent="0.25">
      <c r="A93" t="s">
        <v>274</v>
      </c>
      <c r="B93" s="4">
        <v>41759</v>
      </c>
      <c r="C93">
        <f t="shared" si="1"/>
        <v>43</v>
      </c>
    </row>
    <row r="94" spans="1:3" x14ac:dyDescent="0.25">
      <c r="A94" t="s">
        <v>275</v>
      </c>
      <c r="B94" s="4">
        <v>41802</v>
      </c>
      <c r="C94">
        <f t="shared" si="1"/>
        <v>19</v>
      </c>
    </row>
    <row r="95" spans="1:3" x14ac:dyDescent="0.25">
      <c r="A95" t="s">
        <v>276</v>
      </c>
      <c r="B95" s="4">
        <v>41821</v>
      </c>
      <c r="C95">
        <f t="shared" si="1"/>
        <v>43</v>
      </c>
    </row>
    <row r="96" spans="1:3" x14ac:dyDescent="0.25">
      <c r="A96" t="s">
        <v>277</v>
      </c>
      <c r="B96" s="4">
        <v>41864</v>
      </c>
      <c r="C96">
        <f t="shared" si="1"/>
        <v>2</v>
      </c>
    </row>
    <row r="97" spans="1:3" x14ac:dyDescent="0.25">
      <c r="A97" t="s">
        <v>278</v>
      </c>
      <c r="B97" s="4">
        <v>41866</v>
      </c>
      <c r="C97">
        <f t="shared" si="1"/>
        <v>75</v>
      </c>
    </row>
    <row r="98" spans="1:3" x14ac:dyDescent="0.25">
      <c r="A98" t="s">
        <v>279</v>
      </c>
      <c r="B98" s="4">
        <v>41941</v>
      </c>
      <c r="C98">
        <f t="shared" si="1"/>
        <v>63</v>
      </c>
    </row>
    <row r="99" spans="1:3" x14ac:dyDescent="0.25">
      <c r="A99" t="s">
        <v>280</v>
      </c>
      <c r="B99" s="4">
        <v>42004</v>
      </c>
      <c r="C99">
        <f t="shared" si="1"/>
        <v>61</v>
      </c>
    </row>
    <row r="100" spans="1:3" x14ac:dyDescent="0.25">
      <c r="A100" t="s">
        <v>848</v>
      </c>
      <c r="B100" s="10">
        <v>42065</v>
      </c>
      <c r="C100">
        <f t="shared" si="1"/>
        <v>2</v>
      </c>
    </row>
    <row r="101" spans="1:3" x14ac:dyDescent="0.25">
      <c r="A101" t="s">
        <v>281</v>
      </c>
      <c r="B101" s="4">
        <v>42067</v>
      </c>
      <c r="C101">
        <f t="shared" si="1"/>
        <v>64</v>
      </c>
    </row>
    <row r="102" spans="1:3" x14ac:dyDescent="0.25">
      <c r="A102" t="s">
        <v>282</v>
      </c>
      <c r="B102" s="4">
        <v>42131</v>
      </c>
      <c r="C102">
        <f t="shared" si="1"/>
        <v>47</v>
      </c>
    </row>
    <row r="103" spans="1:3" x14ac:dyDescent="0.25">
      <c r="A103" t="s">
        <v>283</v>
      </c>
      <c r="B103" s="4">
        <v>42178</v>
      </c>
      <c r="C103">
        <f t="shared" si="1"/>
        <v>31</v>
      </c>
    </row>
    <row r="104" spans="1:3" x14ac:dyDescent="0.25">
      <c r="A104" t="s">
        <v>291</v>
      </c>
      <c r="B104" s="4">
        <v>42209</v>
      </c>
      <c r="C104">
        <f t="shared" si="1"/>
        <v>40</v>
      </c>
    </row>
    <row r="105" spans="1:3" x14ac:dyDescent="0.25">
      <c r="A105" t="s">
        <v>292</v>
      </c>
      <c r="B105" s="4">
        <v>42249</v>
      </c>
      <c r="C105">
        <f t="shared" si="1"/>
        <v>28</v>
      </c>
    </row>
    <row r="106" spans="1:3" x14ac:dyDescent="0.25">
      <c r="A106" t="s">
        <v>293</v>
      </c>
      <c r="B106" s="4">
        <v>42277</v>
      </c>
      <c r="C106">
        <f t="shared" si="1"/>
        <v>35</v>
      </c>
    </row>
    <row r="107" spans="1:3" x14ac:dyDescent="0.25">
      <c r="A107" t="s">
        <v>294</v>
      </c>
      <c r="B107" s="4">
        <v>42312</v>
      </c>
      <c r="C107">
        <f t="shared" si="1"/>
        <v>86</v>
      </c>
    </row>
    <row r="108" spans="1:3" x14ac:dyDescent="0.25">
      <c r="A108" t="s">
        <v>295</v>
      </c>
      <c r="B108" s="4">
        <v>42398</v>
      </c>
      <c r="C108">
        <f t="shared" si="1"/>
        <v>52</v>
      </c>
    </row>
    <row r="109" spans="1:3" x14ac:dyDescent="0.25">
      <c r="A109" t="s">
        <v>296</v>
      </c>
      <c r="B109" s="4">
        <v>42450</v>
      </c>
      <c r="C109">
        <f t="shared" si="1"/>
        <v>14</v>
      </c>
    </row>
    <row r="110" spans="1:3" x14ac:dyDescent="0.25">
      <c r="A110" t="s">
        <v>300</v>
      </c>
      <c r="B110" s="4">
        <v>42464</v>
      </c>
      <c r="C110">
        <f t="shared" si="1"/>
        <v>64</v>
      </c>
    </row>
    <row r="111" spans="1:3" x14ac:dyDescent="0.25">
      <c r="A111" t="s">
        <v>297</v>
      </c>
      <c r="B111" s="4">
        <v>42528</v>
      </c>
      <c r="C111">
        <f t="shared" si="1"/>
        <v>24</v>
      </c>
    </row>
    <row r="112" spans="1:3" x14ac:dyDescent="0.25">
      <c r="A112" t="s">
        <v>298</v>
      </c>
      <c r="B112" s="4">
        <v>42552</v>
      </c>
      <c r="C112">
        <f t="shared" si="1"/>
        <v>14</v>
      </c>
    </row>
    <row r="113" spans="1:3" x14ac:dyDescent="0.25">
      <c r="A113" t="s">
        <v>299</v>
      </c>
      <c r="B113" s="4">
        <v>42566</v>
      </c>
      <c r="C113">
        <f t="shared" si="1"/>
        <v>12</v>
      </c>
    </row>
    <row r="114" spans="1:3" x14ac:dyDescent="0.25">
      <c r="A114" t="s">
        <v>301</v>
      </c>
      <c r="B114" s="4">
        <v>42578</v>
      </c>
      <c r="C114">
        <f t="shared" si="1"/>
        <v>33</v>
      </c>
    </row>
    <row r="115" spans="1:3" x14ac:dyDescent="0.25">
      <c r="A115" t="s">
        <v>302</v>
      </c>
      <c r="B115" s="4">
        <v>42611</v>
      </c>
      <c r="C115">
        <f t="shared" si="1"/>
        <v>46</v>
      </c>
    </row>
    <row r="116" spans="1:3" x14ac:dyDescent="0.25">
      <c r="A116" t="s">
        <v>303</v>
      </c>
      <c r="B116" s="4">
        <v>42657</v>
      </c>
      <c r="C116">
        <f t="shared" si="1"/>
        <v>90</v>
      </c>
    </row>
    <row r="117" spans="1:3" x14ac:dyDescent="0.25">
      <c r="A117" t="s">
        <v>304</v>
      </c>
      <c r="B117" s="4">
        <v>42747</v>
      </c>
      <c r="C117">
        <f t="shared" si="1"/>
        <v>18</v>
      </c>
    </row>
    <row r="118" spans="1:3" x14ac:dyDescent="0.25">
      <c r="A118" t="s">
        <v>305</v>
      </c>
      <c r="B118" s="4">
        <v>42765</v>
      </c>
      <c r="C118">
        <f t="shared" si="1"/>
        <v>39</v>
      </c>
    </row>
    <row r="119" spans="1:3" x14ac:dyDescent="0.25">
      <c r="A119" t="s">
        <v>306</v>
      </c>
      <c r="B119" s="4">
        <v>42804</v>
      </c>
      <c r="C119">
        <f t="shared" si="1"/>
        <v>51</v>
      </c>
    </row>
    <row r="120" spans="1:3" x14ac:dyDescent="0.25">
      <c r="A120" t="s">
        <v>315</v>
      </c>
      <c r="B120" s="4">
        <v>42855</v>
      </c>
      <c r="C120">
        <f t="shared" si="1"/>
        <v>12</v>
      </c>
    </row>
    <row r="121" spans="1:3" x14ac:dyDescent="0.25">
      <c r="A121" t="s">
        <v>834</v>
      </c>
      <c r="B121" s="4">
        <v>42867</v>
      </c>
      <c r="C121">
        <f t="shared" si="1"/>
        <v>28</v>
      </c>
    </row>
    <row r="122" spans="1:3" x14ac:dyDescent="0.25">
      <c r="A122" t="s">
        <v>835</v>
      </c>
      <c r="B122" s="4">
        <v>42895</v>
      </c>
      <c r="C122">
        <f t="shared" si="1"/>
        <v>27</v>
      </c>
    </row>
    <row r="123" spans="1:3" x14ac:dyDescent="0.25">
      <c r="A123" t="s">
        <v>836</v>
      </c>
      <c r="B123" s="4">
        <v>42922</v>
      </c>
      <c r="C123">
        <f t="shared" si="1"/>
        <v>28</v>
      </c>
    </row>
    <row r="124" spans="1:3" x14ac:dyDescent="0.25">
      <c r="A124" t="s">
        <v>837</v>
      </c>
      <c r="B124" s="4">
        <v>42950</v>
      </c>
      <c r="C124">
        <f t="shared" si="1"/>
        <v>22</v>
      </c>
    </row>
    <row r="125" spans="1:3" x14ac:dyDescent="0.25">
      <c r="A125" t="s">
        <v>838</v>
      </c>
      <c r="B125" s="4">
        <v>42972</v>
      </c>
      <c r="C125">
        <f t="shared" si="1"/>
        <v>31</v>
      </c>
    </row>
    <row r="126" spans="1:3" x14ac:dyDescent="0.25">
      <c r="A126" t="s">
        <v>839</v>
      </c>
      <c r="B126" s="4">
        <v>43003</v>
      </c>
      <c r="C126">
        <f t="shared" si="1"/>
        <v>44</v>
      </c>
    </row>
    <row r="127" spans="1:3" x14ac:dyDescent="0.25">
      <c r="A127" t="s">
        <v>840</v>
      </c>
      <c r="B127" s="4">
        <v>43047</v>
      </c>
      <c r="C127">
        <f t="shared" si="1"/>
        <v>33</v>
      </c>
    </row>
    <row r="128" spans="1:3" x14ac:dyDescent="0.25">
      <c r="A128" t="s">
        <v>841</v>
      </c>
      <c r="B128" s="4">
        <v>43080</v>
      </c>
      <c r="C128">
        <f t="shared" si="1"/>
        <v>42</v>
      </c>
    </row>
    <row r="129" spans="1:3" x14ac:dyDescent="0.25">
      <c r="A129" t="s">
        <v>842</v>
      </c>
      <c r="B129" s="4">
        <v>43122</v>
      </c>
      <c r="C129">
        <f t="shared" si="1"/>
        <v>15</v>
      </c>
    </row>
    <row r="130" spans="1:3" x14ac:dyDescent="0.25">
      <c r="A130" t="s">
        <v>843</v>
      </c>
      <c r="B130" s="4">
        <v>43137</v>
      </c>
    </row>
    <row r="131" spans="1:3" x14ac:dyDescent="0.25">
      <c r="A131" t="s">
        <v>307</v>
      </c>
      <c r="B131" s="4">
        <v>42516</v>
      </c>
      <c r="C131">
        <f t="shared" si="1"/>
        <v>12</v>
      </c>
    </row>
    <row r="132" spans="1:3" x14ac:dyDescent="0.25">
      <c r="A132" t="s">
        <v>308</v>
      </c>
      <c r="B132" s="4">
        <v>42528</v>
      </c>
      <c r="C132">
        <f t="shared" si="1"/>
        <v>24</v>
      </c>
    </row>
    <row r="133" spans="1:3" x14ac:dyDescent="0.25">
      <c r="A133" t="s">
        <v>309</v>
      </c>
      <c r="B133" s="4">
        <v>42552</v>
      </c>
      <c r="C133">
        <f t="shared" si="1"/>
        <v>14</v>
      </c>
    </row>
    <row r="134" spans="1:3" x14ac:dyDescent="0.25">
      <c r="A134" t="s">
        <v>310</v>
      </c>
      <c r="B134" s="4">
        <v>42566</v>
      </c>
      <c r="C134">
        <f t="shared" si="1"/>
        <v>12</v>
      </c>
    </row>
    <row r="135" spans="1:3" x14ac:dyDescent="0.25">
      <c r="A135" t="s">
        <v>311</v>
      </c>
      <c r="B135" s="4">
        <v>42578</v>
      </c>
      <c r="C135">
        <f t="shared" ref="C135:C162" si="2">DATEDIF(B135,B136,"d")</f>
        <v>33</v>
      </c>
    </row>
    <row r="136" spans="1:3" x14ac:dyDescent="0.25">
      <c r="A136" t="s">
        <v>314</v>
      </c>
      <c r="B136" s="4">
        <v>42611</v>
      </c>
      <c r="C136">
        <f t="shared" si="2"/>
        <v>46</v>
      </c>
    </row>
    <row r="137" spans="1:3" x14ac:dyDescent="0.25">
      <c r="A137" t="s">
        <v>312</v>
      </c>
      <c r="B137" s="4">
        <v>42657</v>
      </c>
      <c r="C137">
        <f t="shared" si="2"/>
        <v>90</v>
      </c>
    </row>
    <row r="138" spans="1:3" x14ac:dyDescent="0.25">
      <c r="A138" t="s">
        <v>313</v>
      </c>
      <c r="B138" s="4">
        <v>42747</v>
      </c>
      <c r="C138">
        <f t="shared" si="2"/>
        <v>18</v>
      </c>
    </row>
    <row r="139" spans="1:3" x14ac:dyDescent="0.25">
      <c r="A139" t="s">
        <v>811</v>
      </c>
      <c r="B139" s="4">
        <v>42765</v>
      </c>
      <c r="C139">
        <f t="shared" si="2"/>
        <v>39</v>
      </c>
    </row>
    <row r="140" spans="1:3" x14ac:dyDescent="0.25">
      <c r="A140" t="s">
        <v>812</v>
      </c>
      <c r="B140" s="4">
        <v>42804</v>
      </c>
      <c r="C140">
        <f t="shared" si="2"/>
        <v>51</v>
      </c>
    </row>
    <row r="141" spans="1:3" x14ac:dyDescent="0.25">
      <c r="A141" t="s">
        <v>813</v>
      </c>
      <c r="B141" s="4">
        <v>42855</v>
      </c>
      <c r="C141">
        <f t="shared" si="2"/>
        <v>12</v>
      </c>
    </row>
    <row r="142" spans="1:3" x14ac:dyDescent="0.25">
      <c r="A142" t="s">
        <v>814</v>
      </c>
      <c r="B142" s="4">
        <v>42867</v>
      </c>
      <c r="C142">
        <f t="shared" si="2"/>
        <v>28</v>
      </c>
    </row>
    <row r="143" spans="1:3" x14ac:dyDescent="0.25">
      <c r="A143" t="s">
        <v>815</v>
      </c>
      <c r="B143" s="4">
        <v>42895</v>
      </c>
      <c r="C143">
        <f t="shared" si="2"/>
        <v>27</v>
      </c>
    </row>
    <row r="144" spans="1:3" x14ac:dyDescent="0.25">
      <c r="A144" t="s">
        <v>816</v>
      </c>
      <c r="B144" s="4">
        <v>42922</v>
      </c>
      <c r="C144">
        <f t="shared" si="2"/>
        <v>28</v>
      </c>
    </row>
    <row r="145" spans="1:3" x14ac:dyDescent="0.25">
      <c r="A145" t="s">
        <v>817</v>
      </c>
      <c r="B145" s="4">
        <v>42950</v>
      </c>
      <c r="C145">
        <f t="shared" si="2"/>
        <v>22</v>
      </c>
    </row>
    <row r="146" spans="1:3" x14ac:dyDescent="0.25">
      <c r="A146" t="s">
        <v>818</v>
      </c>
      <c r="B146" s="4">
        <v>42972</v>
      </c>
      <c r="C146">
        <f t="shared" si="2"/>
        <v>31</v>
      </c>
    </row>
    <row r="147" spans="1:3" x14ac:dyDescent="0.25">
      <c r="A147" t="s">
        <v>844</v>
      </c>
      <c r="B147" s="4">
        <v>43003</v>
      </c>
      <c r="C147">
        <f t="shared" si="2"/>
        <v>44</v>
      </c>
    </row>
    <row r="148" spans="1:3" x14ac:dyDescent="0.25">
      <c r="A148" t="s">
        <v>819</v>
      </c>
      <c r="B148" s="4">
        <v>43047</v>
      </c>
      <c r="C148">
        <f t="shared" si="2"/>
        <v>33</v>
      </c>
    </row>
    <row r="149" spans="1:3" x14ac:dyDescent="0.25">
      <c r="A149" t="s">
        <v>820</v>
      </c>
      <c r="B149" s="4">
        <v>43080</v>
      </c>
      <c r="C149">
        <f t="shared" si="2"/>
        <v>4</v>
      </c>
    </row>
    <row r="150" spans="1:3" x14ac:dyDescent="0.25">
      <c r="A150" t="s">
        <v>821</v>
      </c>
      <c r="B150" s="4">
        <v>43084</v>
      </c>
      <c r="C150">
        <f t="shared" si="2"/>
        <v>38</v>
      </c>
    </row>
    <row r="151" spans="1:3" x14ac:dyDescent="0.25">
      <c r="A151" t="s">
        <v>822</v>
      </c>
      <c r="B151" s="4">
        <v>43122</v>
      </c>
      <c r="C151">
        <f t="shared" si="2"/>
        <v>14</v>
      </c>
    </row>
    <row r="152" spans="1:3" x14ac:dyDescent="0.25">
      <c r="A152" t="s">
        <v>823</v>
      </c>
      <c r="B152" s="4">
        <v>43136</v>
      </c>
      <c r="C152">
        <f t="shared" si="2"/>
        <v>16</v>
      </c>
    </row>
    <row r="153" spans="1:3" x14ac:dyDescent="0.25">
      <c r="A153" t="s">
        <v>824</v>
      </c>
      <c r="B153" s="4">
        <v>43152</v>
      </c>
      <c r="C153">
        <f t="shared" si="2"/>
        <v>42</v>
      </c>
    </row>
    <row r="154" spans="1:3" x14ac:dyDescent="0.25">
      <c r="A154" t="s">
        <v>825</v>
      </c>
      <c r="B154" s="4">
        <v>43194</v>
      </c>
      <c r="C154">
        <f t="shared" si="2"/>
        <v>15</v>
      </c>
    </row>
    <row r="155" spans="1:3" x14ac:dyDescent="0.25">
      <c r="A155" t="s">
        <v>826</v>
      </c>
      <c r="B155" s="4">
        <v>43209</v>
      </c>
      <c r="C155">
        <f t="shared" si="2"/>
        <v>25</v>
      </c>
    </row>
    <row r="156" spans="1:3" x14ac:dyDescent="0.25">
      <c r="A156" t="s">
        <v>827</v>
      </c>
      <c r="B156" s="4">
        <v>43234</v>
      </c>
      <c r="C156">
        <f t="shared" si="2"/>
        <v>57</v>
      </c>
    </row>
    <row r="157" spans="1:3" x14ac:dyDescent="0.25">
      <c r="A157" t="s">
        <v>845</v>
      </c>
      <c r="B157" s="4">
        <v>43291</v>
      </c>
      <c r="C157">
        <f t="shared" si="2"/>
        <v>1</v>
      </c>
    </row>
    <row r="158" spans="1:3" x14ac:dyDescent="0.25">
      <c r="A158" t="s">
        <v>828</v>
      </c>
      <c r="B158" s="4">
        <v>43292</v>
      </c>
      <c r="C158">
        <f t="shared" si="2"/>
        <v>16</v>
      </c>
    </row>
    <row r="159" spans="1:3" x14ac:dyDescent="0.25">
      <c r="A159" t="s">
        <v>829</v>
      </c>
      <c r="B159" s="4">
        <v>43308</v>
      </c>
      <c r="C159">
        <f t="shared" si="2"/>
        <v>28</v>
      </c>
    </row>
    <row r="160" spans="1:3" x14ac:dyDescent="0.25">
      <c r="A160" t="s">
        <v>830</v>
      </c>
      <c r="B160" s="4">
        <v>43336</v>
      </c>
      <c r="C160">
        <f t="shared" si="2"/>
        <v>34</v>
      </c>
    </row>
    <row r="161" spans="1:3" x14ac:dyDescent="0.25">
      <c r="A161" t="s">
        <v>831</v>
      </c>
      <c r="B161" s="4">
        <v>43370</v>
      </c>
      <c r="C161">
        <f t="shared" si="2"/>
        <v>33</v>
      </c>
    </row>
    <row r="162" spans="1:3" x14ac:dyDescent="0.25">
      <c r="A162" t="s">
        <v>832</v>
      </c>
      <c r="B162" s="4">
        <v>43403</v>
      </c>
      <c r="C162">
        <f t="shared" si="2"/>
        <v>30</v>
      </c>
    </row>
    <row r="163" spans="1:3" x14ac:dyDescent="0.25">
      <c r="A163" t="s">
        <v>833</v>
      </c>
      <c r="B163" s="4">
        <v>43433</v>
      </c>
    </row>
  </sheetData>
  <pageMargins left="0.7" right="0.7" top="0.75" bottom="0.75" header="0.3" footer="0.3"/>
  <pageSetup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0D133-96CB-48BC-AABB-54F1107B28D5}">
  <dimension ref="A1:C27"/>
  <sheetViews>
    <sheetView workbookViewId="0">
      <selection activeCell="C5" sqref="C5"/>
    </sheetView>
  </sheetViews>
  <sheetFormatPr defaultRowHeight="15" x14ac:dyDescent="0.25"/>
  <cols>
    <col min="2" max="2" width="10.7109375" bestFit="1" customWidth="1"/>
  </cols>
  <sheetData>
    <row r="1" spans="1:3" x14ac:dyDescent="0.25">
      <c r="B1" s="1"/>
      <c r="C1" t="s">
        <v>0</v>
      </c>
    </row>
    <row r="2" spans="1:3" x14ac:dyDescent="0.25">
      <c r="B2" s="1" t="s">
        <v>1</v>
      </c>
      <c r="C2">
        <f>AVERAGE(C6:C26)</f>
        <v>240</v>
      </c>
    </row>
    <row r="3" spans="1:3" x14ac:dyDescent="0.25">
      <c r="B3" s="1" t="s">
        <v>2</v>
      </c>
      <c r="C3">
        <f>MEDIAN(C6:C26)</f>
        <v>206</v>
      </c>
    </row>
    <row r="4" spans="1:3" x14ac:dyDescent="0.25">
      <c r="B4" s="1" t="s">
        <v>3</v>
      </c>
      <c r="C4">
        <f>STDEV(C6:C26)</f>
        <v>151.17783184748109</v>
      </c>
    </row>
    <row r="5" spans="1:3" x14ac:dyDescent="0.25">
      <c r="A5" t="s">
        <v>4</v>
      </c>
      <c r="B5" s="1" t="s">
        <v>5</v>
      </c>
    </row>
    <row r="6" spans="1:3" x14ac:dyDescent="0.25">
      <c r="A6" t="s">
        <v>316</v>
      </c>
      <c r="B6" s="4">
        <v>38567</v>
      </c>
      <c r="C6">
        <f>DATEDIF(B6,B7,"d")</f>
        <v>97</v>
      </c>
    </row>
    <row r="7" spans="1:3" x14ac:dyDescent="0.25">
      <c r="A7" t="s">
        <v>317</v>
      </c>
      <c r="B7" s="4">
        <v>38664</v>
      </c>
      <c r="C7">
        <f t="shared" ref="C7:C26" si="0">DATEDIF(B7,B8,"d")</f>
        <v>234</v>
      </c>
    </row>
    <row r="8" spans="1:3" x14ac:dyDescent="0.25">
      <c r="A8" t="s">
        <v>318</v>
      </c>
      <c r="B8" s="4">
        <v>38898</v>
      </c>
      <c r="C8">
        <f t="shared" si="0"/>
        <v>165</v>
      </c>
    </row>
    <row r="9" spans="1:3" x14ac:dyDescent="0.25">
      <c r="A9" t="s">
        <v>319</v>
      </c>
      <c r="B9" s="4">
        <v>39063</v>
      </c>
      <c r="C9">
        <f t="shared" si="0"/>
        <v>499</v>
      </c>
    </row>
    <row r="10" spans="1:3" x14ac:dyDescent="0.25">
      <c r="A10" t="s">
        <v>320</v>
      </c>
      <c r="B10" s="4">
        <v>39562</v>
      </c>
      <c r="C10">
        <f t="shared" si="0"/>
        <v>18</v>
      </c>
    </row>
    <row r="11" spans="1:3" x14ac:dyDescent="0.25">
      <c r="A11" t="s">
        <v>321</v>
      </c>
      <c r="B11" s="4">
        <v>39580</v>
      </c>
      <c r="C11">
        <f t="shared" si="0"/>
        <v>116</v>
      </c>
    </row>
    <row r="12" spans="1:3" x14ac:dyDescent="0.25">
      <c r="A12" t="s">
        <v>322</v>
      </c>
      <c r="B12" s="4">
        <v>39696</v>
      </c>
      <c r="C12">
        <f t="shared" si="0"/>
        <v>235</v>
      </c>
    </row>
    <row r="13" spans="1:3" x14ac:dyDescent="0.25">
      <c r="A13" t="s">
        <v>323</v>
      </c>
      <c r="B13" s="4">
        <v>39931</v>
      </c>
      <c r="C13">
        <f t="shared" si="0"/>
        <v>115</v>
      </c>
    </row>
    <row r="14" spans="1:3" x14ac:dyDescent="0.25">
      <c r="A14" t="s">
        <v>324</v>
      </c>
      <c r="B14" s="4">
        <v>40046</v>
      </c>
      <c r="C14">
        <f t="shared" si="0"/>
        <v>271</v>
      </c>
    </row>
    <row r="15" spans="1:3" x14ac:dyDescent="0.25">
      <c r="A15" t="s">
        <v>325</v>
      </c>
      <c r="B15" s="4">
        <v>40317</v>
      </c>
      <c r="C15">
        <f t="shared" si="0"/>
        <v>139</v>
      </c>
    </row>
    <row r="16" spans="1:3" x14ac:dyDescent="0.25">
      <c r="A16" t="s">
        <v>326</v>
      </c>
      <c r="B16" s="4">
        <v>40456</v>
      </c>
      <c r="C16">
        <f t="shared" si="0"/>
        <v>40</v>
      </c>
    </row>
    <row r="17" spans="1:3" x14ac:dyDescent="0.25">
      <c r="A17" t="s">
        <v>327</v>
      </c>
      <c r="B17" s="4">
        <v>40496</v>
      </c>
      <c r="C17">
        <f t="shared" si="0"/>
        <v>166</v>
      </c>
    </row>
    <row r="18" spans="1:3" x14ac:dyDescent="0.25">
      <c r="A18" t="s">
        <v>328</v>
      </c>
      <c r="B18" s="4">
        <v>40662</v>
      </c>
      <c r="C18">
        <f t="shared" si="0"/>
        <v>178</v>
      </c>
    </row>
    <row r="19" spans="1:3" x14ac:dyDescent="0.25">
      <c r="A19" t="s">
        <v>329</v>
      </c>
      <c r="B19" s="4">
        <v>40840</v>
      </c>
      <c r="C19">
        <f t="shared" si="0"/>
        <v>389</v>
      </c>
    </row>
    <row r="20" spans="1:3" x14ac:dyDescent="0.25">
      <c r="A20" t="s">
        <v>330</v>
      </c>
      <c r="B20" s="4">
        <v>41229</v>
      </c>
    </row>
    <row r="21" spans="1:3" x14ac:dyDescent="0.25">
      <c r="A21" t="s">
        <v>331</v>
      </c>
      <c r="B21" s="4">
        <v>41085</v>
      </c>
      <c r="C21">
        <f t="shared" si="0"/>
        <v>294</v>
      </c>
    </row>
    <row r="22" spans="1:3" x14ac:dyDescent="0.25">
      <c r="A22" t="s">
        <v>332</v>
      </c>
      <c r="B22" s="4">
        <v>41379</v>
      </c>
      <c r="C22">
        <f t="shared" si="0"/>
        <v>365</v>
      </c>
    </row>
    <row r="23" spans="1:3" x14ac:dyDescent="0.25">
      <c r="A23" t="s">
        <v>333</v>
      </c>
      <c r="B23" s="4">
        <v>41744</v>
      </c>
      <c r="C23">
        <f t="shared" si="0"/>
        <v>133</v>
      </c>
    </row>
    <row r="24" spans="1:3" x14ac:dyDescent="0.25">
      <c r="A24" t="s">
        <v>334</v>
      </c>
      <c r="B24" s="4">
        <v>41877</v>
      </c>
      <c r="C24">
        <f t="shared" si="0"/>
        <v>411</v>
      </c>
    </row>
    <row r="25" spans="1:3" x14ac:dyDescent="0.25">
      <c r="A25" t="s">
        <v>335</v>
      </c>
      <c r="B25" s="4">
        <v>42288</v>
      </c>
      <c r="C25">
        <f t="shared" si="0"/>
        <v>380</v>
      </c>
    </row>
    <row r="26" spans="1:3" x14ac:dyDescent="0.25">
      <c r="A26" t="s">
        <v>336</v>
      </c>
      <c r="B26" s="4">
        <v>42668</v>
      </c>
      <c r="C26">
        <f t="shared" si="0"/>
        <v>555</v>
      </c>
    </row>
    <row r="27" spans="1:3" x14ac:dyDescent="0.25">
      <c r="A27" t="s">
        <v>337</v>
      </c>
      <c r="B27" s="4">
        <v>43223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0618A-4A13-4804-898B-D6D042C85E78}">
  <dimension ref="A1:D37"/>
  <sheetViews>
    <sheetView topLeftCell="A19" workbookViewId="0">
      <selection activeCell="C1" sqref="C1:C4"/>
    </sheetView>
  </sheetViews>
  <sheetFormatPr defaultRowHeight="15" x14ac:dyDescent="0.25"/>
  <cols>
    <col min="1" max="1" width="21.5703125" customWidth="1"/>
    <col min="2" max="2" width="21.7109375" customWidth="1"/>
    <col min="4" max="4" width="14.5703125" customWidth="1"/>
  </cols>
  <sheetData>
    <row r="1" spans="1:4" x14ac:dyDescent="0.25">
      <c r="B1" s="1"/>
      <c r="C1" t="s">
        <v>0</v>
      </c>
    </row>
    <row r="2" spans="1:4" x14ac:dyDescent="0.25">
      <c r="B2" s="1" t="s">
        <v>1</v>
      </c>
      <c r="C2">
        <f>AVERAGE(C6:C36)</f>
        <v>117</v>
      </c>
    </row>
    <row r="3" spans="1:4" x14ac:dyDescent="0.25">
      <c r="B3" s="1" t="s">
        <v>2</v>
      </c>
      <c r="C3">
        <f>MEDIAN(C6:C36)</f>
        <v>110</v>
      </c>
    </row>
    <row r="4" spans="1:4" x14ac:dyDescent="0.25">
      <c r="B4" s="1" t="s">
        <v>3</v>
      </c>
      <c r="C4">
        <f>STDEV(C6:C36)</f>
        <v>98.257786422209776</v>
      </c>
    </row>
    <row r="5" spans="1:4" x14ac:dyDescent="0.25">
      <c r="A5" t="s">
        <v>4</v>
      </c>
      <c r="B5" s="1" t="s">
        <v>5</v>
      </c>
    </row>
    <row r="6" spans="1:4" x14ac:dyDescent="0.25">
      <c r="A6" t="s">
        <v>341</v>
      </c>
      <c r="B6" s="4">
        <v>41629</v>
      </c>
      <c r="C6">
        <f>DATEDIF(B6,B7,"d")</f>
        <v>110</v>
      </c>
      <c r="D6" s="4"/>
    </row>
    <row r="7" spans="1:4" x14ac:dyDescent="0.25">
      <c r="A7" t="s">
        <v>342</v>
      </c>
      <c r="B7" s="4">
        <v>41739</v>
      </c>
      <c r="C7">
        <f t="shared" ref="C7:C36" si="0">DATEDIF(B7,B8,"d")</f>
        <v>183</v>
      </c>
      <c r="D7" s="4"/>
    </row>
    <row r="8" spans="1:4" x14ac:dyDescent="0.25">
      <c r="A8" t="s">
        <v>343</v>
      </c>
      <c r="B8" s="4">
        <v>41922</v>
      </c>
      <c r="C8">
        <f t="shared" si="0"/>
        <v>110</v>
      </c>
      <c r="D8" s="4"/>
    </row>
    <row r="9" spans="1:4" x14ac:dyDescent="0.25">
      <c r="A9" t="s">
        <v>344</v>
      </c>
      <c r="B9" s="4">
        <v>42032</v>
      </c>
      <c r="C9">
        <f t="shared" si="0"/>
        <v>152</v>
      </c>
      <c r="D9" s="4"/>
    </row>
    <row r="10" spans="1:4" x14ac:dyDescent="0.25">
      <c r="A10" t="s">
        <v>345</v>
      </c>
      <c r="B10" s="4">
        <v>42184</v>
      </c>
      <c r="C10">
        <f t="shared" si="0"/>
        <v>95</v>
      </c>
      <c r="D10" s="4"/>
    </row>
    <row r="11" spans="1:4" x14ac:dyDescent="0.25">
      <c r="A11" t="s">
        <v>346</v>
      </c>
      <c r="B11" s="4">
        <v>42279</v>
      </c>
      <c r="C11">
        <f t="shared" si="0"/>
        <v>130</v>
      </c>
      <c r="D11" s="4"/>
    </row>
    <row r="12" spans="1:4" x14ac:dyDescent="0.25">
      <c r="A12" t="s">
        <v>347</v>
      </c>
      <c r="B12" s="4">
        <v>42409</v>
      </c>
      <c r="C12">
        <f t="shared" si="0"/>
        <v>126</v>
      </c>
      <c r="D12" s="4"/>
    </row>
    <row r="13" spans="1:4" x14ac:dyDescent="0.25">
      <c r="A13" t="s">
        <v>348</v>
      </c>
      <c r="B13" s="4">
        <v>42535</v>
      </c>
      <c r="C13">
        <f t="shared" si="0"/>
        <v>55</v>
      </c>
      <c r="D13" s="4"/>
    </row>
    <row r="14" spans="1:4" x14ac:dyDescent="0.25">
      <c r="A14" t="s">
        <v>349</v>
      </c>
      <c r="B14" s="4">
        <v>42590</v>
      </c>
      <c r="C14">
        <f t="shared" si="0"/>
        <v>567</v>
      </c>
      <c r="D14" s="4"/>
    </row>
    <row r="15" spans="1:4" x14ac:dyDescent="0.25">
      <c r="A15" t="s">
        <v>350</v>
      </c>
      <c r="B15" s="4">
        <v>43157</v>
      </c>
      <c r="D15" s="4"/>
    </row>
    <row r="16" spans="1:4" x14ac:dyDescent="0.25">
      <c r="A16" t="s">
        <v>255</v>
      </c>
      <c r="B16" s="4">
        <v>42178</v>
      </c>
      <c r="C16">
        <f t="shared" si="0"/>
        <v>54</v>
      </c>
    </row>
    <row r="17" spans="1:3" x14ac:dyDescent="0.25">
      <c r="A17" t="s">
        <v>256</v>
      </c>
      <c r="B17" s="4">
        <v>42232</v>
      </c>
      <c r="C17">
        <f t="shared" si="0"/>
        <v>54</v>
      </c>
    </row>
    <row r="18" spans="1:3" x14ac:dyDescent="0.25">
      <c r="A18" t="s">
        <v>257</v>
      </c>
      <c r="B18" s="4">
        <v>42286</v>
      </c>
      <c r="C18">
        <f t="shared" si="0"/>
        <v>29</v>
      </c>
    </row>
    <row r="19" spans="1:3" x14ac:dyDescent="0.25">
      <c r="A19" t="s">
        <v>258</v>
      </c>
      <c r="B19" s="4">
        <v>42315</v>
      </c>
      <c r="C19">
        <f t="shared" si="0"/>
        <v>64</v>
      </c>
    </row>
    <row r="20" spans="1:3" x14ac:dyDescent="0.25">
      <c r="A20" t="s">
        <v>259</v>
      </c>
      <c r="B20" s="4">
        <v>42379</v>
      </c>
      <c r="C20">
        <f t="shared" si="0"/>
        <v>99</v>
      </c>
    </row>
    <row r="21" spans="1:3" x14ac:dyDescent="0.25">
      <c r="A21" t="s">
        <v>260</v>
      </c>
      <c r="B21" s="4">
        <v>42478</v>
      </c>
      <c r="C21">
        <f t="shared" si="0"/>
        <v>127</v>
      </c>
    </row>
    <row r="22" spans="1:3" x14ac:dyDescent="0.25">
      <c r="A22" t="s">
        <v>261</v>
      </c>
      <c r="B22" s="4">
        <v>42605</v>
      </c>
      <c r="C22">
        <f t="shared" si="0"/>
        <v>27</v>
      </c>
    </row>
    <row r="23" spans="1:3" x14ac:dyDescent="0.25">
      <c r="A23" t="s">
        <v>262</v>
      </c>
      <c r="B23" s="4">
        <v>42632</v>
      </c>
      <c r="C23">
        <f t="shared" si="0"/>
        <v>86</v>
      </c>
    </row>
    <row r="24" spans="1:3" x14ac:dyDescent="0.25">
      <c r="A24" t="s">
        <v>263</v>
      </c>
      <c r="B24" s="4">
        <v>42718</v>
      </c>
      <c r="C24">
        <f t="shared" si="0"/>
        <v>113</v>
      </c>
    </row>
    <row r="25" spans="1:3" x14ac:dyDescent="0.25">
      <c r="A25" t="s">
        <v>264</v>
      </c>
      <c r="B25" s="4">
        <v>42831</v>
      </c>
      <c r="C25">
        <f t="shared" si="0"/>
        <v>170</v>
      </c>
    </row>
    <row r="26" spans="1:3" x14ac:dyDescent="0.25">
      <c r="A26" t="s">
        <v>265</v>
      </c>
      <c r="B26" s="4">
        <v>43001</v>
      </c>
    </row>
    <row r="27" spans="1:3" x14ac:dyDescent="0.25">
      <c r="A27" t="s">
        <v>307</v>
      </c>
      <c r="B27" s="4">
        <v>42767</v>
      </c>
      <c r="C27">
        <f t="shared" si="0"/>
        <v>55</v>
      </c>
    </row>
    <row r="28" spans="1:3" x14ac:dyDescent="0.25">
      <c r="A28" t="s">
        <v>308</v>
      </c>
      <c r="B28" s="4">
        <v>42822</v>
      </c>
      <c r="C28">
        <f t="shared" si="0"/>
        <v>129</v>
      </c>
    </row>
    <row r="29" spans="1:3" x14ac:dyDescent="0.25">
      <c r="A29" t="s">
        <v>309</v>
      </c>
      <c r="B29" s="4">
        <v>42951</v>
      </c>
      <c r="C29">
        <f t="shared" si="0"/>
        <v>83</v>
      </c>
    </row>
    <row r="30" spans="1:3" x14ac:dyDescent="0.25">
      <c r="A30" t="s">
        <v>310</v>
      </c>
      <c r="B30" s="4">
        <v>43034</v>
      </c>
      <c r="C30">
        <f t="shared" si="0"/>
        <v>50</v>
      </c>
    </row>
    <row r="31" spans="1:3" x14ac:dyDescent="0.25">
      <c r="A31" t="s">
        <v>311</v>
      </c>
      <c r="B31" s="4">
        <v>43084</v>
      </c>
      <c r="C31">
        <f t="shared" si="0"/>
        <v>59</v>
      </c>
    </row>
    <row r="32" spans="1:3" x14ac:dyDescent="0.25">
      <c r="A32" t="s">
        <v>314</v>
      </c>
      <c r="B32" s="4">
        <v>43143</v>
      </c>
      <c r="C32">
        <f t="shared" si="0"/>
        <v>178</v>
      </c>
    </row>
    <row r="33" spans="1:3" x14ac:dyDescent="0.25">
      <c r="A33" t="s">
        <v>312</v>
      </c>
      <c r="B33" s="4">
        <v>43321</v>
      </c>
      <c r="C33">
        <f t="shared" si="0"/>
        <v>112</v>
      </c>
    </row>
    <row r="34" spans="1:3" x14ac:dyDescent="0.25">
      <c r="A34" t="s">
        <v>313</v>
      </c>
      <c r="B34" s="4">
        <v>43433</v>
      </c>
    </row>
    <row r="35" spans="1:3" x14ac:dyDescent="0.25">
      <c r="A35" t="s">
        <v>338</v>
      </c>
      <c r="B35" s="4">
        <v>43195</v>
      </c>
      <c r="C35">
        <f t="shared" si="0"/>
        <v>135</v>
      </c>
    </row>
    <row r="36" spans="1:3" x14ac:dyDescent="0.25">
      <c r="A36" t="s">
        <v>339</v>
      </c>
      <c r="B36" s="4">
        <v>43330</v>
      </c>
      <c r="C36">
        <f t="shared" si="0"/>
        <v>124</v>
      </c>
    </row>
    <row r="37" spans="1:3" x14ac:dyDescent="0.25">
      <c r="A37" t="s">
        <v>340</v>
      </c>
      <c r="B37" s="4">
        <v>43454</v>
      </c>
    </row>
  </sheetData>
  <pageMargins left="0.7" right="0.7" top="0.75" bottom="0.75" header="0.3" footer="0.3"/>
  <pageSetup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D2F0B-EED7-4D43-BAE3-88A66387CD40}">
  <dimension ref="A1:C175"/>
  <sheetViews>
    <sheetView workbookViewId="0">
      <selection activeCell="C7" sqref="C7"/>
    </sheetView>
  </sheetViews>
  <sheetFormatPr defaultRowHeight="15" x14ac:dyDescent="0.25"/>
  <cols>
    <col min="1" max="1" width="9.140625" customWidth="1"/>
    <col min="2" max="2" width="14.42578125" customWidth="1"/>
  </cols>
  <sheetData>
    <row r="1" spans="1:3" x14ac:dyDescent="0.25">
      <c r="B1" s="1"/>
      <c r="C1" t="s">
        <v>0</v>
      </c>
    </row>
    <row r="2" spans="1:3" x14ac:dyDescent="0.25">
      <c r="B2" s="1" t="s">
        <v>1</v>
      </c>
      <c r="C2">
        <f>AVERAGE(C6:C174)</f>
        <v>58.860759493670884</v>
      </c>
    </row>
    <row r="3" spans="1:3" x14ac:dyDescent="0.25">
      <c r="B3" s="1" t="s">
        <v>2</v>
      </c>
      <c r="C3">
        <f>MEDIAN(C6:C174)</f>
        <v>34.5</v>
      </c>
    </row>
    <row r="4" spans="1:3" x14ac:dyDescent="0.25">
      <c r="B4" s="1" t="s">
        <v>3</v>
      </c>
      <c r="C4">
        <f>STDEV(C6:C174)</f>
        <v>88.016317852638508</v>
      </c>
    </row>
    <row r="5" spans="1:3" x14ac:dyDescent="0.25">
      <c r="A5" t="s">
        <v>4</v>
      </c>
      <c r="B5" s="1" t="s">
        <v>5</v>
      </c>
    </row>
    <row r="6" spans="1:3" x14ac:dyDescent="0.25">
      <c r="A6" s="9" t="s">
        <v>577</v>
      </c>
      <c r="B6" s="9" t="s">
        <v>578</v>
      </c>
      <c r="C6">
        <f>DATEDIF(B6,B7,"d")</f>
        <v>68</v>
      </c>
    </row>
    <row r="7" spans="1:3" x14ac:dyDescent="0.25">
      <c r="A7" s="9" t="s">
        <v>579</v>
      </c>
      <c r="B7" s="9" t="s">
        <v>580</v>
      </c>
      <c r="C7">
        <f t="shared" ref="C7:C70" si="0">DATEDIF(B7,B8,"d")</f>
        <v>20</v>
      </c>
    </row>
    <row r="8" spans="1:3" x14ac:dyDescent="0.25">
      <c r="A8" s="9" t="s">
        <v>581</v>
      </c>
      <c r="B8" s="9" t="s">
        <v>582</v>
      </c>
      <c r="C8">
        <f t="shared" si="0"/>
        <v>24</v>
      </c>
    </row>
    <row r="9" spans="1:3" x14ac:dyDescent="0.25">
      <c r="A9" s="9" t="s">
        <v>583</v>
      </c>
      <c r="B9" s="9" t="s">
        <v>584</v>
      </c>
      <c r="C9">
        <f t="shared" si="0"/>
        <v>75</v>
      </c>
    </row>
    <row r="10" spans="1:3" x14ac:dyDescent="0.25">
      <c r="A10" s="9" t="s">
        <v>585</v>
      </c>
      <c r="B10" s="9" t="s">
        <v>586</v>
      </c>
      <c r="C10">
        <f t="shared" si="0"/>
        <v>34</v>
      </c>
    </row>
    <row r="11" spans="1:3" x14ac:dyDescent="0.25">
      <c r="A11" s="9" t="s">
        <v>587</v>
      </c>
      <c r="B11" s="9" t="s">
        <v>588</v>
      </c>
      <c r="C11">
        <f t="shared" si="0"/>
        <v>51</v>
      </c>
    </row>
    <row r="12" spans="1:3" x14ac:dyDescent="0.25">
      <c r="A12" s="9" t="s">
        <v>589</v>
      </c>
      <c r="B12" s="9" t="s">
        <v>590</v>
      </c>
      <c r="C12">
        <f t="shared" si="0"/>
        <v>1</v>
      </c>
    </row>
    <row r="13" spans="1:3" x14ac:dyDescent="0.25">
      <c r="A13" s="9" t="s">
        <v>591</v>
      </c>
      <c r="B13" s="9" t="s">
        <v>592</v>
      </c>
      <c r="C13">
        <f t="shared" si="0"/>
        <v>39</v>
      </c>
    </row>
    <row r="14" spans="1:3" x14ac:dyDescent="0.25">
      <c r="A14" s="9" t="s">
        <v>593</v>
      </c>
      <c r="B14" s="9" t="s">
        <v>594</v>
      </c>
      <c r="C14">
        <f t="shared" si="0"/>
        <v>32</v>
      </c>
    </row>
    <row r="15" spans="1:3" x14ac:dyDescent="0.25">
      <c r="A15" s="9" t="s">
        <v>595</v>
      </c>
      <c r="B15" s="9" t="s">
        <v>596</v>
      </c>
      <c r="C15">
        <f t="shared" si="0"/>
        <v>32</v>
      </c>
    </row>
    <row r="16" spans="1:3" x14ac:dyDescent="0.25">
      <c r="A16" s="9" t="s">
        <v>597</v>
      </c>
      <c r="B16" s="9" t="s">
        <v>598</v>
      </c>
      <c r="C16">
        <f t="shared" si="0"/>
        <v>27</v>
      </c>
    </row>
    <row r="17" spans="1:3" x14ac:dyDescent="0.25">
      <c r="A17" s="9" t="s">
        <v>599</v>
      </c>
      <c r="B17" s="9" t="s">
        <v>600</v>
      </c>
      <c r="C17">
        <f t="shared" si="0"/>
        <v>48</v>
      </c>
    </row>
    <row r="18" spans="1:3" x14ac:dyDescent="0.25">
      <c r="A18" s="9" t="s">
        <v>601</v>
      </c>
      <c r="B18" s="9" t="s">
        <v>602</v>
      </c>
      <c r="C18">
        <f t="shared" si="0"/>
        <v>27</v>
      </c>
    </row>
    <row r="19" spans="1:3" x14ac:dyDescent="0.25">
      <c r="A19" s="9" t="s">
        <v>603</v>
      </c>
      <c r="B19" s="9" t="s">
        <v>604</v>
      </c>
      <c r="C19">
        <f t="shared" si="0"/>
        <v>2</v>
      </c>
    </row>
    <row r="20" spans="1:3" x14ac:dyDescent="0.25">
      <c r="A20" s="9" t="s">
        <v>605</v>
      </c>
      <c r="B20" s="9" t="s">
        <v>606</v>
      </c>
      <c r="C20">
        <f t="shared" si="0"/>
        <v>59</v>
      </c>
    </row>
    <row r="21" spans="1:3" x14ac:dyDescent="0.25">
      <c r="A21" s="9" t="s">
        <v>607</v>
      </c>
      <c r="B21" s="9" t="s">
        <v>608</v>
      </c>
      <c r="C21">
        <f t="shared" si="0"/>
        <v>14</v>
      </c>
    </row>
    <row r="22" spans="1:3" x14ac:dyDescent="0.25">
      <c r="A22" s="9" t="s">
        <v>609</v>
      </c>
      <c r="B22" s="9" t="s">
        <v>610</v>
      </c>
      <c r="C22">
        <f t="shared" si="0"/>
        <v>4</v>
      </c>
    </row>
    <row r="23" spans="1:3" x14ac:dyDescent="0.25">
      <c r="A23" s="9" t="s">
        <v>611</v>
      </c>
      <c r="B23" s="9" t="s">
        <v>612</v>
      </c>
      <c r="C23">
        <f t="shared" si="0"/>
        <v>24</v>
      </c>
    </row>
    <row r="24" spans="1:3" x14ac:dyDescent="0.25">
      <c r="A24" s="9" t="s">
        <v>613</v>
      </c>
      <c r="B24" s="9" t="s">
        <v>614</v>
      </c>
      <c r="C24">
        <f t="shared" si="0"/>
        <v>56</v>
      </c>
    </row>
    <row r="25" spans="1:3" x14ac:dyDescent="0.25">
      <c r="A25" s="9" t="s">
        <v>615</v>
      </c>
      <c r="B25" s="9" t="s">
        <v>616</v>
      </c>
    </row>
    <row r="26" spans="1:3" x14ac:dyDescent="0.25">
      <c r="A26" s="9" t="s">
        <v>617</v>
      </c>
      <c r="B26" s="9" t="s">
        <v>608</v>
      </c>
      <c r="C26">
        <f t="shared" si="0"/>
        <v>35</v>
      </c>
    </row>
    <row r="27" spans="1:3" x14ac:dyDescent="0.25">
      <c r="A27" s="9" t="s">
        <v>618</v>
      </c>
      <c r="B27" s="9" t="s">
        <v>619</v>
      </c>
      <c r="C27">
        <f t="shared" si="0"/>
        <v>2</v>
      </c>
    </row>
    <row r="28" spans="1:3" x14ac:dyDescent="0.25">
      <c r="A28" s="9" t="s">
        <v>620</v>
      </c>
      <c r="B28" s="9" t="s">
        <v>621</v>
      </c>
      <c r="C28">
        <f t="shared" si="0"/>
        <v>16</v>
      </c>
    </row>
    <row r="29" spans="1:3" x14ac:dyDescent="0.25">
      <c r="A29" s="9" t="s">
        <v>622</v>
      </c>
      <c r="B29" s="9" t="s">
        <v>623</v>
      </c>
      <c r="C29">
        <f t="shared" si="0"/>
        <v>11</v>
      </c>
    </row>
    <row r="30" spans="1:3" x14ac:dyDescent="0.25">
      <c r="A30" s="9" t="s">
        <v>624</v>
      </c>
      <c r="B30" s="9" t="s">
        <v>625</v>
      </c>
      <c r="C30">
        <f t="shared" si="0"/>
        <v>43</v>
      </c>
    </row>
    <row r="31" spans="1:3" x14ac:dyDescent="0.25">
      <c r="A31" s="9" t="s">
        <v>626</v>
      </c>
      <c r="B31" s="9" t="s">
        <v>627</v>
      </c>
      <c r="C31">
        <f t="shared" si="0"/>
        <v>23</v>
      </c>
    </row>
    <row r="32" spans="1:3" x14ac:dyDescent="0.25">
      <c r="A32" s="9" t="s">
        <v>628</v>
      </c>
      <c r="B32" s="9" t="s">
        <v>629</v>
      </c>
      <c r="C32">
        <f t="shared" si="0"/>
        <v>57</v>
      </c>
    </row>
    <row r="33" spans="1:3" x14ac:dyDescent="0.25">
      <c r="A33" s="9" t="s">
        <v>630</v>
      </c>
      <c r="B33" s="9" t="s">
        <v>631</v>
      </c>
      <c r="C33">
        <f t="shared" si="0"/>
        <v>6</v>
      </c>
    </row>
    <row r="34" spans="1:3" x14ac:dyDescent="0.25">
      <c r="A34" s="9" t="s">
        <v>632</v>
      </c>
      <c r="B34" s="9" t="s">
        <v>633</v>
      </c>
      <c r="C34">
        <f t="shared" si="0"/>
        <v>45</v>
      </c>
    </row>
    <row r="35" spans="1:3" x14ac:dyDescent="0.25">
      <c r="A35" s="9" t="s">
        <v>634</v>
      </c>
      <c r="B35" s="9" t="s">
        <v>635</v>
      </c>
      <c r="C35">
        <f t="shared" si="0"/>
        <v>701</v>
      </c>
    </row>
    <row r="36" spans="1:3" x14ac:dyDescent="0.25">
      <c r="A36" s="9" t="s">
        <v>636</v>
      </c>
      <c r="B36" s="9" t="s">
        <v>637</v>
      </c>
    </row>
    <row r="37" spans="1:3" x14ac:dyDescent="0.25">
      <c r="A37" s="9" t="s">
        <v>638</v>
      </c>
      <c r="B37" s="9" t="s">
        <v>639</v>
      </c>
      <c r="C37">
        <f t="shared" si="0"/>
        <v>26</v>
      </c>
    </row>
    <row r="38" spans="1:3" x14ac:dyDescent="0.25">
      <c r="A38" s="9" t="s">
        <v>640</v>
      </c>
      <c r="B38" s="9" t="s">
        <v>641</v>
      </c>
      <c r="C38">
        <f t="shared" si="0"/>
        <v>28</v>
      </c>
    </row>
    <row r="39" spans="1:3" x14ac:dyDescent="0.25">
      <c r="A39" s="9" t="s">
        <v>642</v>
      </c>
      <c r="B39" s="9" t="s">
        <v>643</v>
      </c>
      <c r="C39">
        <f t="shared" si="0"/>
        <v>13</v>
      </c>
    </row>
    <row r="40" spans="1:3" x14ac:dyDescent="0.25">
      <c r="A40" s="9" t="s">
        <v>644</v>
      </c>
      <c r="B40" s="9" t="s">
        <v>645</v>
      </c>
      <c r="C40">
        <f t="shared" si="0"/>
        <v>3</v>
      </c>
    </row>
    <row r="41" spans="1:3" x14ac:dyDescent="0.25">
      <c r="A41" s="9" t="s">
        <v>646</v>
      </c>
      <c r="B41" s="9" t="s">
        <v>647</v>
      </c>
      <c r="C41">
        <f t="shared" si="0"/>
        <v>28</v>
      </c>
    </row>
    <row r="42" spans="1:3" x14ac:dyDescent="0.25">
      <c r="A42" s="9" t="s">
        <v>648</v>
      </c>
      <c r="B42" s="9" t="s">
        <v>649</v>
      </c>
      <c r="C42">
        <f t="shared" si="0"/>
        <v>12</v>
      </c>
    </row>
    <row r="43" spans="1:3" x14ac:dyDescent="0.25">
      <c r="A43" s="9" t="s">
        <v>650</v>
      </c>
      <c r="B43" s="9" t="s">
        <v>651</v>
      </c>
      <c r="C43">
        <f t="shared" si="0"/>
        <v>20</v>
      </c>
    </row>
    <row r="44" spans="1:3" x14ac:dyDescent="0.25">
      <c r="A44" s="9" t="s">
        <v>652</v>
      </c>
      <c r="B44" s="9" t="s">
        <v>653</v>
      </c>
      <c r="C44">
        <f t="shared" si="0"/>
        <v>53</v>
      </c>
    </row>
    <row r="45" spans="1:3" x14ac:dyDescent="0.25">
      <c r="A45" s="9" t="s">
        <v>654</v>
      </c>
      <c r="B45" s="9" t="s">
        <v>655</v>
      </c>
      <c r="C45">
        <f t="shared" si="0"/>
        <v>12</v>
      </c>
    </row>
    <row r="46" spans="1:3" x14ac:dyDescent="0.25">
      <c r="A46" s="9" t="s">
        <v>656</v>
      </c>
      <c r="B46" s="9" t="s">
        <v>657</v>
      </c>
      <c r="C46">
        <f t="shared" si="0"/>
        <v>601</v>
      </c>
    </row>
    <row r="47" spans="1:3" x14ac:dyDescent="0.25">
      <c r="A47" s="9" t="s">
        <v>658</v>
      </c>
      <c r="B47" s="9" t="s">
        <v>637</v>
      </c>
    </row>
    <row r="48" spans="1:3" x14ac:dyDescent="0.25">
      <c r="A48" s="9" t="s">
        <v>494</v>
      </c>
      <c r="B48" s="9" t="s">
        <v>659</v>
      </c>
      <c r="C48">
        <f t="shared" si="0"/>
        <v>13</v>
      </c>
    </row>
    <row r="49" spans="1:3" x14ac:dyDescent="0.25">
      <c r="A49" s="9" t="s">
        <v>496</v>
      </c>
      <c r="B49" s="9" t="s">
        <v>660</v>
      </c>
      <c r="C49">
        <f t="shared" si="0"/>
        <v>7</v>
      </c>
    </row>
    <row r="50" spans="1:3" x14ac:dyDescent="0.25">
      <c r="A50" s="9" t="s">
        <v>498</v>
      </c>
      <c r="B50" s="9" t="s">
        <v>661</v>
      </c>
      <c r="C50">
        <f t="shared" si="0"/>
        <v>22</v>
      </c>
    </row>
    <row r="51" spans="1:3" x14ac:dyDescent="0.25">
      <c r="A51" s="9" t="s">
        <v>499</v>
      </c>
      <c r="B51" s="9" t="s">
        <v>662</v>
      </c>
      <c r="C51">
        <f t="shared" si="0"/>
        <v>0</v>
      </c>
    </row>
    <row r="52" spans="1:3" x14ac:dyDescent="0.25">
      <c r="A52" s="9" t="s">
        <v>663</v>
      </c>
      <c r="B52" s="9" t="s">
        <v>662</v>
      </c>
      <c r="C52">
        <f t="shared" si="0"/>
        <v>1</v>
      </c>
    </row>
    <row r="53" spans="1:3" x14ac:dyDescent="0.25">
      <c r="A53" s="9" t="s">
        <v>664</v>
      </c>
      <c r="B53" s="9" t="s">
        <v>665</v>
      </c>
      <c r="C53">
        <f t="shared" si="0"/>
        <v>14</v>
      </c>
    </row>
    <row r="54" spans="1:3" x14ac:dyDescent="0.25">
      <c r="A54" s="9" t="s">
        <v>666</v>
      </c>
      <c r="B54" s="9" t="s">
        <v>657</v>
      </c>
      <c r="C54">
        <f t="shared" si="0"/>
        <v>33</v>
      </c>
    </row>
    <row r="55" spans="1:3" x14ac:dyDescent="0.25">
      <c r="A55" s="9" t="s">
        <v>667</v>
      </c>
      <c r="B55" s="9" t="s">
        <v>668</v>
      </c>
      <c r="C55">
        <f t="shared" si="0"/>
        <v>42</v>
      </c>
    </row>
    <row r="56" spans="1:3" x14ac:dyDescent="0.25">
      <c r="A56" s="9" t="s">
        <v>669</v>
      </c>
      <c r="B56" s="9" t="s">
        <v>670</v>
      </c>
      <c r="C56">
        <f t="shared" si="0"/>
        <v>39</v>
      </c>
    </row>
    <row r="57" spans="1:3" x14ac:dyDescent="0.25">
      <c r="A57" s="9" t="s">
        <v>671</v>
      </c>
      <c r="B57" s="9" t="s">
        <v>672</v>
      </c>
      <c r="C57">
        <f t="shared" si="0"/>
        <v>32</v>
      </c>
    </row>
    <row r="58" spans="1:3" x14ac:dyDescent="0.25">
      <c r="A58" s="9" t="s">
        <v>673</v>
      </c>
      <c r="B58" s="9" t="s">
        <v>674</v>
      </c>
      <c r="C58">
        <f t="shared" si="0"/>
        <v>84</v>
      </c>
    </row>
    <row r="59" spans="1:3" x14ac:dyDescent="0.25">
      <c r="A59" s="9" t="s">
        <v>675</v>
      </c>
      <c r="B59" s="9" t="s">
        <v>676</v>
      </c>
      <c r="C59">
        <f t="shared" si="0"/>
        <v>371</v>
      </c>
    </row>
    <row r="60" spans="1:3" x14ac:dyDescent="0.25">
      <c r="A60" s="9" t="s">
        <v>677</v>
      </c>
      <c r="B60" s="9" t="s">
        <v>637</v>
      </c>
    </row>
    <row r="61" spans="1:3" x14ac:dyDescent="0.25">
      <c r="A61" s="9" t="s">
        <v>500</v>
      </c>
      <c r="B61" s="9" t="s">
        <v>678</v>
      </c>
      <c r="C61">
        <f t="shared" si="0"/>
        <v>41</v>
      </c>
    </row>
    <row r="62" spans="1:3" x14ac:dyDescent="0.25">
      <c r="A62" s="9" t="s">
        <v>503</v>
      </c>
      <c r="B62" s="9" t="s">
        <v>679</v>
      </c>
      <c r="C62">
        <f t="shared" si="0"/>
        <v>28</v>
      </c>
    </row>
    <row r="63" spans="1:3" x14ac:dyDescent="0.25">
      <c r="A63" s="9" t="s">
        <v>512</v>
      </c>
      <c r="B63" s="9" t="s">
        <v>680</v>
      </c>
      <c r="C63">
        <f t="shared" si="0"/>
        <v>34</v>
      </c>
    </row>
    <row r="64" spans="1:3" x14ac:dyDescent="0.25">
      <c r="A64" s="9" t="s">
        <v>513</v>
      </c>
      <c r="B64" s="9" t="s">
        <v>681</v>
      </c>
      <c r="C64">
        <f t="shared" si="0"/>
        <v>15</v>
      </c>
    </row>
    <row r="65" spans="1:3" x14ac:dyDescent="0.25">
      <c r="A65" s="9" t="s">
        <v>515</v>
      </c>
      <c r="B65" s="9" t="s">
        <v>682</v>
      </c>
      <c r="C65">
        <f t="shared" si="0"/>
        <v>21</v>
      </c>
    </row>
    <row r="66" spans="1:3" x14ac:dyDescent="0.25">
      <c r="A66" s="9" t="s">
        <v>516</v>
      </c>
      <c r="B66" s="9" t="s">
        <v>683</v>
      </c>
      <c r="C66">
        <f t="shared" si="0"/>
        <v>35</v>
      </c>
    </row>
    <row r="67" spans="1:3" x14ac:dyDescent="0.25">
      <c r="A67" s="9" t="s">
        <v>518</v>
      </c>
      <c r="B67" s="9" t="s">
        <v>684</v>
      </c>
      <c r="C67">
        <f t="shared" si="0"/>
        <v>46</v>
      </c>
    </row>
    <row r="68" spans="1:3" x14ac:dyDescent="0.25">
      <c r="A68" s="9" t="s">
        <v>520</v>
      </c>
      <c r="B68" s="9" t="s">
        <v>685</v>
      </c>
      <c r="C68">
        <f t="shared" si="0"/>
        <v>20</v>
      </c>
    </row>
    <row r="69" spans="1:3" x14ac:dyDescent="0.25">
      <c r="A69" s="9" t="s">
        <v>521</v>
      </c>
      <c r="B69" s="9" t="s">
        <v>686</v>
      </c>
      <c r="C69">
        <f t="shared" si="0"/>
        <v>29</v>
      </c>
    </row>
    <row r="70" spans="1:3" x14ac:dyDescent="0.25">
      <c r="A70" s="9" t="s">
        <v>523</v>
      </c>
      <c r="B70" s="9" t="s">
        <v>687</v>
      </c>
      <c r="C70">
        <f t="shared" si="0"/>
        <v>28</v>
      </c>
    </row>
    <row r="71" spans="1:3" x14ac:dyDescent="0.25">
      <c r="A71" s="9" t="s">
        <v>504</v>
      </c>
      <c r="B71" s="9" t="s">
        <v>386</v>
      </c>
      <c r="C71">
        <f t="shared" ref="C71:C134" si="1">DATEDIF(B71,B72,"d")</f>
        <v>63</v>
      </c>
    </row>
    <row r="72" spans="1:3" x14ac:dyDescent="0.25">
      <c r="A72" s="9" t="s">
        <v>506</v>
      </c>
      <c r="B72" s="9" t="s">
        <v>688</v>
      </c>
      <c r="C72">
        <f t="shared" si="1"/>
        <v>109</v>
      </c>
    </row>
    <row r="73" spans="1:3" x14ac:dyDescent="0.25">
      <c r="A73" s="9" t="s">
        <v>508</v>
      </c>
      <c r="B73" s="9" t="s">
        <v>637</v>
      </c>
    </row>
    <row r="74" spans="1:3" x14ac:dyDescent="0.25">
      <c r="A74" s="9" t="s">
        <v>525</v>
      </c>
      <c r="B74" s="9" t="s">
        <v>687</v>
      </c>
      <c r="C74">
        <f t="shared" si="1"/>
        <v>10</v>
      </c>
    </row>
    <row r="75" spans="1:3" x14ac:dyDescent="0.25">
      <c r="A75" s="9" t="s">
        <v>527</v>
      </c>
      <c r="B75" s="9" t="s">
        <v>689</v>
      </c>
      <c r="C75">
        <f t="shared" si="1"/>
        <v>28</v>
      </c>
    </row>
    <row r="76" spans="1:3" x14ac:dyDescent="0.25">
      <c r="A76" s="9" t="s">
        <v>528</v>
      </c>
      <c r="B76" s="9" t="s">
        <v>690</v>
      </c>
      <c r="C76">
        <f t="shared" si="1"/>
        <v>21</v>
      </c>
    </row>
    <row r="77" spans="1:3" x14ac:dyDescent="0.25">
      <c r="A77" s="9" t="s">
        <v>530</v>
      </c>
      <c r="B77" s="9" t="s">
        <v>691</v>
      </c>
      <c r="C77">
        <f t="shared" si="1"/>
        <v>24</v>
      </c>
    </row>
    <row r="78" spans="1:3" x14ac:dyDescent="0.25">
      <c r="A78" s="9" t="s">
        <v>532</v>
      </c>
      <c r="B78" s="9" t="s">
        <v>692</v>
      </c>
      <c r="C78">
        <f t="shared" si="1"/>
        <v>38</v>
      </c>
    </row>
    <row r="79" spans="1:3" x14ac:dyDescent="0.25">
      <c r="A79" s="9" t="s">
        <v>534</v>
      </c>
      <c r="B79" s="9" t="s">
        <v>693</v>
      </c>
      <c r="C79">
        <f t="shared" si="1"/>
        <v>79</v>
      </c>
    </row>
    <row r="80" spans="1:3" x14ac:dyDescent="0.25">
      <c r="A80" s="9" t="s">
        <v>536</v>
      </c>
      <c r="B80" s="9" t="s">
        <v>637</v>
      </c>
    </row>
    <row r="81" spans="1:3" x14ac:dyDescent="0.25">
      <c r="A81" s="9" t="s">
        <v>538</v>
      </c>
      <c r="B81" s="9" t="s">
        <v>694</v>
      </c>
      <c r="C81">
        <f t="shared" si="1"/>
        <v>3</v>
      </c>
    </row>
    <row r="82" spans="1:3" x14ac:dyDescent="0.25">
      <c r="A82" s="9" t="s">
        <v>540</v>
      </c>
      <c r="B82" s="9" t="s">
        <v>695</v>
      </c>
      <c r="C82">
        <f t="shared" si="1"/>
        <v>36</v>
      </c>
    </row>
    <row r="83" spans="1:3" x14ac:dyDescent="0.25">
      <c r="A83" s="9" t="s">
        <v>542</v>
      </c>
      <c r="B83" s="9" t="s">
        <v>696</v>
      </c>
      <c r="C83">
        <f t="shared" si="1"/>
        <v>20</v>
      </c>
    </row>
    <row r="84" spans="1:3" x14ac:dyDescent="0.25">
      <c r="A84" s="9" t="s">
        <v>697</v>
      </c>
      <c r="B84" s="9" t="s">
        <v>698</v>
      </c>
      <c r="C84">
        <f t="shared" si="1"/>
        <v>29</v>
      </c>
    </row>
    <row r="85" spans="1:3" x14ac:dyDescent="0.25">
      <c r="A85" s="9" t="s">
        <v>699</v>
      </c>
      <c r="B85" s="9" t="s">
        <v>700</v>
      </c>
      <c r="C85">
        <f t="shared" si="1"/>
        <v>34</v>
      </c>
    </row>
    <row r="86" spans="1:3" x14ac:dyDescent="0.25">
      <c r="A86" s="9" t="s">
        <v>701</v>
      </c>
      <c r="B86" s="9" t="s">
        <v>702</v>
      </c>
      <c r="C86">
        <f t="shared" si="1"/>
        <v>25</v>
      </c>
    </row>
    <row r="87" spans="1:3" x14ac:dyDescent="0.25">
      <c r="A87" s="9" t="s">
        <v>703</v>
      </c>
      <c r="B87" s="9" t="s">
        <v>704</v>
      </c>
      <c r="C87">
        <f t="shared" si="1"/>
        <v>45</v>
      </c>
    </row>
    <row r="88" spans="1:3" x14ac:dyDescent="0.25">
      <c r="A88" s="9" t="s">
        <v>705</v>
      </c>
      <c r="B88" s="9" t="s">
        <v>706</v>
      </c>
      <c r="C88">
        <f t="shared" si="1"/>
        <v>4</v>
      </c>
    </row>
    <row r="89" spans="1:3" x14ac:dyDescent="0.25">
      <c r="A89" s="9" t="s">
        <v>707</v>
      </c>
      <c r="B89" s="9" t="s">
        <v>442</v>
      </c>
      <c r="C89">
        <f t="shared" si="1"/>
        <v>52</v>
      </c>
    </row>
    <row r="90" spans="1:3" x14ac:dyDescent="0.25">
      <c r="A90" s="9" t="s">
        <v>708</v>
      </c>
      <c r="B90" s="9" t="s">
        <v>709</v>
      </c>
      <c r="C90">
        <f t="shared" si="1"/>
        <v>91</v>
      </c>
    </row>
    <row r="91" spans="1:3" x14ac:dyDescent="0.25">
      <c r="A91" s="9" t="s">
        <v>710</v>
      </c>
      <c r="B91" s="9" t="s">
        <v>711</v>
      </c>
      <c r="C91">
        <f t="shared" si="1"/>
        <v>3</v>
      </c>
    </row>
    <row r="92" spans="1:3" x14ac:dyDescent="0.25">
      <c r="A92" s="9" t="s">
        <v>712</v>
      </c>
      <c r="B92" s="9" t="s">
        <v>418</v>
      </c>
      <c r="C92">
        <f t="shared" si="1"/>
        <v>136</v>
      </c>
    </row>
    <row r="93" spans="1:3" x14ac:dyDescent="0.25">
      <c r="A93" s="9" t="s">
        <v>713</v>
      </c>
      <c r="B93" s="9" t="s">
        <v>422</v>
      </c>
    </row>
    <row r="94" spans="1:3" x14ac:dyDescent="0.25">
      <c r="A94" s="9" t="s">
        <v>567</v>
      </c>
      <c r="B94" s="9" t="s">
        <v>698</v>
      </c>
      <c r="C94">
        <f t="shared" si="1"/>
        <v>0</v>
      </c>
    </row>
    <row r="95" spans="1:3" x14ac:dyDescent="0.25">
      <c r="A95" s="9" t="s">
        <v>568</v>
      </c>
      <c r="B95" s="9" t="s">
        <v>698</v>
      </c>
      <c r="C95">
        <f t="shared" si="1"/>
        <v>35</v>
      </c>
    </row>
    <row r="96" spans="1:3" x14ac:dyDescent="0.25">
      <c r="A96" s="9" t="s">
        <v>569</v>
      </c>
      <c r="B96" s="9" t="s">
        <v>714</v>
      </c>
      <c r="C96">
        <f t="shared" si="1"/>
        <v>28</v>
      </c>
    </row>
    <row r="97" spans="1:3" x14ac:dyDescent="0.25">
      <c r="A97" s="9" t="s">
        <v>571</v>
      </c>
      <c r="B97" s="9" t="s">
        <v>702</v>
      </c>
      <c r="C97">
        <f t="shared" si="1"/>
        <v>35</v>
      </c>
    </row>
    <row r="98" spans="1:3" x14ac:dyDescent="0.25">
      <c r="A98" s="9" t="s">
        <v>715</v>
      </c>
      <c r="B98" s="9" t="s">
        <v>406</v>
      </c>
      <c r="C98">
        <f t="shared" si="1"/>
        <v>39</v>
      </c>
    </row>
    <row r="99" spans="1:3" x14ac:dyDescent="0.25">
      <c r="A99" s="9" t="s">
        <v>716</v>
      </c>
      <c r="B99" s="9" t="s">
        <v>442</v>
      </c>
      <c r="C99">
        <f t="shared" si="1"/>
        <v>31</v>
      </c>
    </row>
    <row r="100" spans="1:3" x14ac:dyDescent="0.25">
      <c r="A100" s="9" t="s">
        <v>717</v>
      </c>
      <c r="B100" s="9" t="s">
        <v>718</v>
      </c>
      <c r="C100">
        <f t="shared" si="1"/>
        <v>39</v>
      </c>
    </row>
    <row r="101" spans="1:3" x14ac:dyDescent="0.25">
      <c r="A101" s="9" t="s">
        <v>719</v>
      </c>
      <c r="B101" s="9" t="s">
        <v>720</v>
      </c>
      <c r="C101">
        <f t="shared" si="1"/>
        <v>41</v>
      </c>
    </row>
    <row r="102" spans="1:3" x14ac:dyDescent="0.25">
      <c r="A102" s="9" t="s">
        <v>721</v>
      </c>
      <c r="B102" s="9" t="s">
        <v>416</v>
      </c>
      <c r="C102">
        <f t="shared" si="1"/>
        <v>32</v>
      </c>
    </row>
    <row r="103" spans="1:3" x14ac:dyDescent="0.25">
      <c r="A103" s="9" t="s">
        <v>722</v>
      </c>
      <c r="B103" s="9" t="s">
        <v>711</v>
      </c>
      <c r="C103">
        <f t="shared" si="1"/>
        <v>56</v>
      </c>
    </row>
    <row r="104" spans="1:3" x14ac:dyDescent="0.25">
      <c r="A104" s="9" t="s">
        <v>723</v>
      </c>
      <c r="B104" s="9" t="s">
        <v>724</v>
      </c>
      <c r="C104">
        <f t="shared" si="1"/>
        <v>83</v>
      </c>
    </row>
    <row r="105" spans="1:3" x14ac:dyDescent="0.25">
      <c r="A105" s="9" t="s">
        <v>725</v>
      </c>
      <c r="B105" s="9" t="s">
        <v>422</v>
      </c>
      <c r="C105">
        <f t="shared" si="1"/>
        <v>65</v>
      </c>
    </row>
    <row r="106" spans="1:3" x14ac:dyDescent="0.25">
      <c r="A106" s="9" t="s">
        <v>726</v>
      </c>
      <c r="B106" s="9" t="s">
        <v>727</v>
      </c>
      <c r="C106">
        <f t="shared" si="1"/>
        <v>55</v>
      </c>
    </row>
    <row r="107" spans="1:3" x14ac:dyDescent="0.25">
      <c r="A107" s="9" t="s">
        <v>728</v>
      </c>
      <c r="B107" s="9" t="s">
        <v>729</v>
      </c>
      <c r="C107">
        <f t="shared" si="1"/>
        <v>16</v>
      </c>
    </row>
    <row r="108" spans="1:3" x14ac:dyDescent="0.25">
      <c r="A108" s="9" t="s">
        <v>730</v>
      </c>
      <c r="B108" s="9" t="s">
        <v>731</v>
      </c>
      <c r="C108">
        <f t="shared" si="1"/>
        <v>47</v>
      </c>
    </row>
    <row r="109" spans="1:3" x14ac:dyDescent="0.25">
      <c r="A109" s="9" t="s">
        <v>732</v>
      </c>
      <c r="B109" s="9" t="s">
        <v>733</v>
      </c>
      <c r="C109">
        <f t="shared" si="1"/>
        <v>93</v>
      </c>
    </row>
    <row r="110" spans="1:3" x14ac:dyDescent="0.25">
      <c r="A110" s="9" t="s">
        <v>734</v>
      </c>
      <c r="B110" s="9" t="s">
        <v>467</v>
      </c>
      <c r="C110">
        <f t="shared" si="1"/>
        <v>56</v>
      </c>
    </row>
    <row r="111" spans="1:3" x14ac:dyDescent="0.25">
      <c r="A111" s="9" t="s">
        <v>735</v>
      </c>
      <c r="B111" s="9" t="s">
        <v>471</v>
      </c>
    </row>
    <row r="112" spans="1:3" x14ac:dyDescent="0.25">
      <c r="A112" s="9" t="s">
        <v>573</v>
      </c>
      <c r="B112" s="9" t="s">
        <v>736</v>
      </c>
      <c r="C112">
        <f t="shared" si="1"/>
        <v>66</v>
      </c>
    </row>
    <row r="113" spans="1:3" x14ac:dyDescent="0.25">
      <c r="A113" s="9" t="s">
        <v>575</v>
      </c>
      <c r="B113" s="9" t="s">
        <v>422</v>
      </c>
      <c r="C113">
        <f t="shared" si="1"/>
        <v>0</v>
      </c>
    </row>
    <row r="114" spans="1:3" x14ac:dyDescent="0.25">
      <c r="A114" s="9" t="s">
        <v>737</v>
      </c>
      <c r="B114" s="9" t="s">
        <v>422</v>
      </c>
      <c r="C114">
        <f t="shared" si="1"/>
        <v>93</v>
      </c>
    </row>
    <row r="115" spans="1:3" x14ac:dyDescent="0.25">
      <c r="A115" s="9" t="s">
        <v>738</v>
      </c>
      <c r="B115" s="9" t="s">
        <v>739</v>
      </c>
      <c r="C115">
        <f t="shared" si="1"/>
        <v>43</v>
      </c>
    </row>
    <row r="116" spans="1:3" x14ac:dyDescent="0.25">
      <c r="A116" s="9" t="s">
        <v>740</v>
      </c>
      <c r="B116" s="9" t="s">
        <v>731</v>
      </c>
      <c r="C116">
        <f t="shared" si="1"/>
        <v>28</v>
      </c>
    </row>
    <row r="117" spans="1:3" x14ac:dyDescent="0.25">
      <c r="A117" s="9" t="s">
        <v>741</v>
      </c>
      <c r="B117" s="9" t="s">
        <v>742</v>
      </c>
      <c r="C117">
        <f t="shared" si="1"/>
        <v>40</v>
      </c>
    </row>
    <row r="118" spans="1:3" x14ac:dyDescent="0.25">
      <c r="A118" s="9" t="s">
        <v>743</v>
      </c>
      <c r="B118" s="9" t="s">
        <v>744</v>
      </c>
      <c r="C118">
        <f t="shared" si="1"/>
        <v>14</v>
      </c>
    </row>
    <row r="119" spans="1:3" x14ac:dyDescent="0.25">
      <c r="A119" s="9" t="s">
        <v>745</v>
      </c>
      <c r="B119" s="9" t="s">
        <v>746</v>
      </c>
      <c r="C119">
        <f t="shared" si="1"/>
        <v>58</v>
      </c>
    </row>
    <row r="120" spans="1:3" x14ac:dyDescent="0.25">
      <c r="A120" s="9" t="s">
        <v>747</v>
      </c>
      <c r="B120" s="9" t="s">
        <v>467</v>
      </c>
      <c r="C120">
        <f t="shared" si="1"/>
        <v>9</v>
      </c>
    </row>
    <row r="121" spans="1:3" x14ac:dyDescent="0.25">
      <c r="A121" s="9" t="s">
        <v>748</v>
      </c>
      <c r="B121" s="9" t="s">
        <v>749</v>
      </c>
      <c r="C121">
        <f t="shared" si="1"/>
        <v>101</v>
      </c>
    </row>
    <row r="122" spans="1:3" x14ac:dyDescent="0.25">
      <c r="A122" s="9" t="s">
        <v>750</v>
      </c>
      <c r="B122" s="9" t="s">
        <v>751</v>
      </c>
      <c r="C122">
        <f t="shared" si="1"/>
        <v>63</v>
      </c>
    </row>
    <row r="123" spans="1:3" x14ac:dyDescent="0.25">
      <c r="A123" s="9" t="s">
        <v>752</v>
      </c>
      <c r="B123" s="9" t="s">
        <v>753</v>
      </c>
      <c r="C123">
        <f t="shared" si="1"/>
        <v>78</v>
      </c>
    </row>
    <row r="124" spans="1:3" x14ac:dyDescent="0.25">
      <c r="A124" s="9" t="s">
        <v>754</v>
      </c>
      <c r="B124" s="9" t="s">
        <v>755</v>
      </c>
      <c r="C124">
        <f t="shared" si="1"/>
        <v>70</v>
      </c>
    </row>
    <row r="125" spans="1:3" x14ac:dyDescent="0.25">
      <c r="A125" s="9" t="s">
        <v>756</v>
      </c>
      <c r="B125" s="9" t="s">
        <v>757</v>
      </c>
      <c r="C125">
        <f t="shared" si="1"/>
        <v>97</v>
      </c>
    </row>
    <row r="126" spans="1:3" x14ac:dyDescent="0.25">
      <c r="A126" s="9" t="s">
        <v>758</v>
      </c>
      <c r="B126" s="9" t="s">
        <v>759</v>
      </c>
      <c r="C126">
        <f t="shared" si="1"/>
        <v>259</v>
      </c>
    </row>
    <row r="127" spans="1:3" x14ac:dyDescent="0.25">
      <c r="A127" s="9" t="s">
        <v>760</v>
      </c>
      <c r="B127" s="9" t="s">
        <v>507</v>
      </c>
      <c r="C127">
        <f t="shared" si="1"/>
        <v>100</v>
      </c>
    </row>
    <row r="128" spans="1:3" x14ac:dyDescent="0.25">
      <c r="A128" s="9" t="s">
        <v>761</v>
      </c>
      <c r="B128" s="9" t="s">
        <v>509</v>
      </c>
      <c r="C128">
        <f t="shared" si="1"/>
        <v>212</v>
      </c>
    </row>
    <row r="129" spans="1:3" x14ac:dyDescent="0.25">
      <c r="A129" s="9" t="s">
        <v>762</v>
      </c>
      <c r="B129" s="9" t="s">
        <v>537</v>
      </c>
      <c r="C129">
        <f t="shared" si="1"/>
        <v>0</v>
      </c>
    </row>
    <row r="130" spans="1:3" x14ac:dyDescent="0.25">
      <c r="A130" s="9" t="s">
        <v>763</v>
      </c>
      <c r="B130" s="9" t="s">
        <v>537</v>
      </c>
    </row>
    <row r="131" spans="1:3" x14ac:dyDescent="0.25">
      <c r="A131" s="9" t="s">
        <v>764</v>
      </c>
      <c r="B131" s="9" t="s">
        <v>467</v>
      </c>
      <c r="C131">
        <f t="shared" si="1"/>
        <v>13</v>
      </c>
    </row>
    <row r="132" spans="1:3" x14ac:dyDescent="0.25">
      <c r="A132" s="9" t="s">
        <v>765</v>
      </c>
      <c r="B132" s="9" t="s">
        <v>766</v>
      </c>
      <c r="C132">
        <f t="shared" si="1"/>
        <v>97</v>
      </c>
    </row>
    <row r="133" spans="1:3" x14ac:dyDescent="0.25">
      <c r="A133" s="9" t="s">
        <v>767</v>
      </c>
      <c r="B133" s="9" t="s">
        <v>751</v>
      </c>
      <c r="C133">
        <f t="shared" si="1"/>
        <v>63</v>
      </c>
    </row>
    <row r="134" spans="1:3" x14ac:dyDescent="0.25">
      <c r="A134" s="9" t="s">
        <v>768</v>
      </c>
      <c r="B134" s="9" t="s">
        <v>753</v>
      </c>
      <c r="C134">
        <f t="shared" si="1"/>
        <v>78</v>
      </c>
    </row>
    <row r="135" spans="1:3" x14ac:dyDescent="0.25">
      <c r="A135" s="9" t="s">
        <v>769</v>
      </c>
      <c r="B135" s="9" t="s">
        <v>755</v>
      </c>
      <c r="C135">
        <f t="shared" ref="C135:C174" si="2">DATEDIF(B135,B136,"d")</f>
        <v>70</v>
      </c>
    </row>
    <row r="136" spans="1:3" x14ac:dyDescent="0.25">
      <c r="A136" s="9" t="s">
        <v>770</v>
      </c>
      <c r="B136" s="9" t="s">
        <v>757</v>
      </c>
      <c r="C136">
        <f t="shared" si="2"/>
        <v>85</v>
      </c>
    </row>
    <row r="137" spans="1:3" x14ac:dyDescent="0.25">
      <c r="A137" s="9" t="s">
        <v>771</v>
      </c>
      <c r="B137" s="9" t="s">
        <v>772</v>
      </c>
      <c r="C137">
        <f t="shared" si="2"/>
        <v>271</v>
      </c>
    </row>
    <row r="138" spans="1:3" x14ac:dyDescent="0.25">
      <c r="A138" s="9" t="s">
        <v>773</v>
      </c>
      <c r="B138" s="9" t="s">
        <v>507</v>
      </c>
      <c r="C138">
        <f t="shared" si="2"/>
        <v>100</v>
      </c>
    </row>
    <row r="139" spans="1:3" x14ac:dyDescent="0.25">
      <c r="A139" s="9" t="s">
        <v>774</v>
      </c>
      <c r="B139" s="9" t="s">
        <v>509</v>
      </c>
      <c r="C139">
        <f t="shared" si="2"/>
        <v>212</v>
      </c>
    </row>
    <row r="140" spans="1:3" x14ac:dyDescent="0.25">
      <c r="A140" s="9" t="s">
        <v>775</v>
      </c>
      <c r="B140" s="9" t="s">
        <v>537</v>
      </c>
      <c r="C140">
        <f t="shared" si="2"/>
        <v>0</v>
      </c>
    </row>
    <row r="141" spans="1:3" x14ac:dyDescent="0.25">
      <c r="A141" s="9" t="s">
        <v>776</v>
      </c>
      <c r="B141" s="9" t="s">
        <v>537</v>
      </c>
      <c r="C141">
        <f t="shared" si="2"/>
        <v>89</v>
      </c>
    </row>
    <row r="142" spans="1:3" x14ac:dyDescent="0.25">
      <c r="A142" s="9" t="s">
        <v>777</v>
      </c>
      <c r="B142" s="9" t="s">
        <v>778</v>
      </c>
    </row>
    <row r="143" spans="1:3" x14ac:dyDescent="0.25">
      <c r="A143" s="9" t="s">
        <v>341</v>
      </c>
      <c r="B143" s="9" t="s">
        <v>779</v>
      </c>
      <c r="C143">
        <f t="shared" si="2"/>
        <v>29</v>
      </c>
    </row>
    <row r="144" spans="1:3" x14ac:dyDescent="0.25">
      <c r="A144" s="9" t="s">
        <v>342</v>
      </c>
      <c r="B144" s="9" t="s">
        <v>780</v>
      </c>
      <c r="C144">
        <f t="shared" si="2"/>
        <v>13</v>
      </c>
    </row>
    <row r="145" spans="1:3" x14ac:dyDescent="0.25">
      <c r="A145" s="9" t="s">
        <v>343</v>
      </c>
      <c r="B145" s="9" t="s">
        <v>781</v>
      </c>
      <c r="C145">
        <f t="shared" si="2"/>
        <v>50</v>
      </c>
    </row>
    <row r="146" spans="1:3" x14ac:dyDescent="0.25">
      <c r="A146" s="9" t="s">
        <v>344</v>
      </c>
      <c r="B146" s="9" t="s">
        <v>782</v>
      </c>
      <c r="C146">
        <f t="shared" si="2"/>
        <v>28</v>
      </c>
    </row>
    <row r="147" spans="1:3" x14ac:dyDescent="0.25">
      <c r="A147" s="9" t="s">
        <v>345</v>
      </c>
      <c r="B147" s="9" t="s">
        <v>783</v>
      </c>
      <c r="C147">
        <f t="shared" si="2"/>
        <v>34</v>
      </c>
    </row>
    <row r="148" spans="1:3" x14ac:dyDescent="0.25">
      <c r="A148" s="9" t="s">
        <v>346</v>
      </c>
      <c r="B148" s="9" t="s">
        <v>784</v>
      </c>
      <c r="C148">
        <f t="shared" si="2"/>
        <v>32</v>
      </c>
    </row>
    <row r="149" spans="1:3" x14ac:dyDescent="0.25">
      <c r="A149" s="9" t="s">
        <v>347</v>
      </c>
      <c r="B149" s="9" t="s">
        <v>785</v>
      </c>
      <c r="C149">
        <f t="shared" si="2"/>
        <v>31</v>
      </c>
    </row>
    <row r="150" spans="1:3" x14ac:dyDescent="0.25">
      <c r="A150" s="9" t="s">
        <v>348</v>
      </c>
      <c r="B150" s="9" t="s">
        <v>786</v>
      </c>
      <c r="C150">
        <f t="shared" si="2"/>
        <v>22</v>
      </c>
    </row>
    <row r="151" spans="1:3" x14ac:dyDescent="0.25">
      <c r="A151" s="9" t="s">
        <v>349</v>
      </c>
      <c r="B151" s="9" t="s">
        <v>757</v>
      </c>
      <c r="C151">
        <f t="shared" si="2"/>
        <v>76</v>
      </c>
    </row>
    <row r="152" spans="1:3" x14ac:dyDescent="0.25">
      <c r="A152" s="9" t="s">
        <v>350</v>
      </c>
      <c r="B152" s="9" t="s">
        <v>787</v>
      </c>
      <c r="C152">
        <f t="shared" si="2"/>
        <v>58</v>
      </c>
    </row>
    <row r="153" spans="1:3" x14ac:dyDescent="0.25">
      <c r="A153" s="9" t="s">
        <v>788</v>
      </c>
      <c r="B153" s="9" t="s">
        <v>789</v>
      </c>
      <c r="C153">
        <f t="shared" si="2"/>
        <v>97</v>
      </c>
    </row>
    <row r="154" spans="1:3" x14ac:dyDescent="0.25">
      <c r="A154" s="9" t="s">
        <v>790</v>
      </c>
      <c r="B154" s="9" t="s">
        <v>791</v>
      </c>
      <c r="C154">
        <f t="shared" si="2"/>
        <v>17</v>
      </c>
    </row>
    <row r="155" spans="1:3" x14ac:dyDescent="0.25">
      <c r="A155" s="9" t="s">
        <v>792</v>
      </c>
      <c r="B155" s="9" t="s">
        <v>793</v>
      </c>
      <c r="C155">
        <f t="shared" si="2"/>
        <v>35</v>
      </c>
    </row>
    <row r="156" spans="1:3" x14ac:dyDescent="0.25">
      <c r="A156" s="9" t="s">
        <v>794</v>
      </c>
      <c r="B156" s="9" t="s">
        <v>795</v>
      </c>
      <c r="C156">
        <f t="shared" si="2"/>
        <v>173</v>
      </c>
    </row>
    <row r="157" spans="1:3" x14ac:dyDescent="0.25">
      <c r="A157" s="9" t="s">
        <v>796</v>
      </c>
      <c r="B157" s="9" t="s">
        <v>509</v>
      </c>
      <c r="C157">
        <f t="shared" si="2"/>
        <v>212</v>
      </c>
    </row>
    <row r="158" spans="1:3" x14ac:dyDescent="0.25">
      <c r="A158" s="9" t="s">
        <v>797</v>
      </c>
      <c r="B158" s="9" t="s">
        <v>537</v>
      </c>
      <c r="C158">
        <f t="shared" si="2"/>
        <v>0</v>
      </c>
    </row>
    <row r="159" spans="1:3" x14ac:dyDescent="0.25">
      <c r="A159" s="9" t="s">
        <v>798</v>
      </c>
      <c r="B159" s="9" t="s">
        <v>537</v>
      </c>
      <c r="C159">
        <f t="shared" si="2"/>
        <v>89</v>
      </c>
    </row>
    <row r="160" spans="1:3" x14ac:dyDescent="0.25">
      <c r="A160" s="9" t="s">
        <v>799</v>
      </c>
      <c r="B160" s="9" t="s">
        <v>778</v>
      </c>
    </row>
    <row r="161" spans="1:3" x14ac:dyDescent="0.25">
      <c r="A161" s="9">
        <v>3.1</v>
      </c>
      <c r="B161" s="9" t="s">
        <v>780</v>
      </c>
      <c r="C161">
        <f t="shared" si="2"/>
        <v>34</v>
      </c>
    </row>
    <row r="162" spans="1:3" x14ac:dyDescent="0.25">
      <c r="A162" s="9">
        <v>3.2</v>
      </c>
      <c r="B162" s="9" t="s">
        <v>800</v>
      </c>
      <c r="C162">
        <f t="shared" si="2"/>
        <v>8</v>
      </c>
    </row>
    <row r="163" spans="1:3" x14ac:dyDescent="0.25">
      <c r="A163" s="9" t="s">
        <v>202</v>
      </c>
      <c r="B163" s="9" t="s">
        <v>801</v>
      </c>
      <c r="C163">
        <f t="shared" si="2"/>
        <v>21</v>
      </c>
    </row>
    <row r="164" spans="1:3" x14ac:dyDescent="0.25">
      <c r="A164" s="9">
        <v>3.3</v>
      </c>
      <c r="B164" s="9" t="s">
        <v>782</v>
      </c>
      <c r="C164">
        <f t="shared" si="2"/>
        <v>28</v>
      </c>
    </row>
    <row r="165" spans="1:3" x14ac:dyDescent="0.25">
      <c r="A165" s="9">
        <v>3.4</v>
      </c>
      <c r="B165" s="9" t="s">
        <v>783</v>
      </c>
      <c r="C165">
        <f t="shared" si="2"/>
        <v>36</v>
      </c>
    </row>
    <row r="166" spans="1:3" x14ac:dyDescent="0.25">
      <c r="A166" s="9">
        <v>3.5</v>
      </c>
      <c r="B166" s="9" t="s">
        <v>802</v>
      </c>
      <c r="C166">
        <f t="shared" si="2"/>
        <v>54</v>
      </c>
    </row>
    <row r="167" spans="1:3" x14ac:dyDescent="0.25">
      <c r="A167" s="9">
        <v>3.6</v>
      </c>
      <c r="B167" s="9" t="s">
        <v>803</v>
      </c>
      <c r="C167">
        <f t="shared" si="2"/>
        <v>7</v>
      </c>
    </row>
    <row r="168" spans="1:3" x14ac:dyDescent="0.25">
      <c r="A168" s="9">
        <v>3.7</v>
      </c>
      <c r="B168" s="9" t="s">
        <v>786</v>
      </c>
      <c r="C168">
        <f t="shared" si="2"/>
        <v>108</v>
      </c>
    </row>
    <row r="169" spans="1:3" x14ac:dyDescent="0.25">
      <c r="A169" s="9">
        <v>3.8</v>
      </c>
      <c r="B169" s="9" t="s">
        <v>804</v>
      </c>
      <c r="C169">
        <f t="shared" si="2"/>
        <v>0</v>
      </c>
    </row>
    <row r="170" spans="1:3" x14ac:dyDescent="0.25">
      <c r="A170" s="9">
        <v>3.9</v>
      </c>
      <c r="B170" s="9" t="s">
        <v>804</v>
      </c>
      <c r="C170">
        <f t="shared" si="2"/>
        <v>127</v>
      </c>
    </row>
    <row r="171" spans="1:3" x14ac:dyDescent="0.25">
      <c r="A171" s="9" t="s">
        <v>805</v>
      </c>
      <c r="B171" s="9" t="s">
        <v>806</v>
      </c>
      <c r="C171">
        <f t="shared" si="2"/>
        <v>243</v>
      </c>
    </row>
    <row r="172" spans="1:3" x14ac:dyDescent="0.25">
      <c r="A172" s="9" t="s">
        <v>807</v>
      </c>
      <c r="B172" s="9" t="s">
        <v>509</v>
      </c>
      <c r="C172">
        <f t="shared" si="2"/>
        <v>212</v>
      </c>
    </row>
    <row r="173" spans="1:3" x14ac:dyDescent="0.25">
      <c r="A173" s="9" t="s">
        <v>808</v>
      </c>
      <c r="B173" s="9" t="s">
        <v>537</v>
      </c>
      <c r="C173">
        <f t="shared" si="2"/>
        <v>0</v>
      </c>
    </row>
    <row r="174" spans="1:3" x14ac:dyDescent="0.25">
      <c r="A174" s="9" t="s">
        <v>809</v>
      </c>
      <c r="B174" s="9" t="s">
        <v>537</v>
      </c>
      <c r="C174">
        <f t="shared" si="2"/>
        <v>89</v>
      </c>
    </row>
    <row r="175" spans="1:3" x14ac:dyDescent="0.25">
      <c r="A175" s="9" t="s">
        <v>810</v>
      </c>
      <c r="B175" s="9" t="s">
        <v>778</v>
      </c>
    </row>
  </sheetData>
  <pageMargins left="0.7" right="0.7" top="0.75" bottom="0.75" header="0.3" footer="0.3"/>
  <pageSetup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25B6F-EA26-442E-9DA8-718B71B3260D}">
  <dimension ref="A1:C127"/>
  <sheetViews>
    <sheetView workbookViewId="0">
      <selection activeCell="A6" sqref="A6"/>
    </sheetView>
  </sheetViews>
  <sheetFormatPr defaultRowHeight="15" x14ac:dyDescent="0.25"/>
  <cols>
    <col min="2" max="2" width="10.28515625" customWidth="1"/>
  </cols>
  <sheetData>
    <row r="1" spans="1:3" x14ac:dyDescent="0.25">
      <c r="B1" s="1"/>
      <c r="C1" t="s">
        <v>0</v>
      </c>
    </row>
    <row r="2" spans="1:3" x14ac:dyDescent="0.25">
      <c r="B2" s="1" t="s">
        <v>1</v>
      </c>
      <c r="C2">
        <f>AVERAGE(C6:C126)</f>
        <v>70.886792452830193</v>
      </c>
    </row>
    <row r="3" spans="1:3" x14ac:dyDescent="0.25">
      <c r="B3" s="1" t="s">
        <v>2</v>
      </c>
      <c r="C3">
        <f>MEDIAN(C6:C126)</f>
        <v>47</v>
      </c>
    </row>
    <row r="4" spans="1:3" x14ac:dyDescent="0.25">
      <c r="B4" s="1" t="s">
        <v>3</v>
      </c>
      <c r="C4">
        <f>STDEV(C6:C126)</f>
        <v>81.681299457355777</v>
      </c>
    </row>
    <row r="5" spans="1:3" x14ac:dyDescent="0.25">
      <c r="A5" t="s">
        <v>4</v>
      </c>
      <c r="B5" s="1" t="s">
        <v>5</v>
      </c>
    </row>
    <row r="6" spans="1:3" x14ac:dyDescent="0.25">
      <c r="A6" s="7" t="s">
        <v>351</v>
      </c>
      <c r="B6" s="8" t="s">
        <v>352</v>
      </c>
      <c r="C6">
        <f>DATEDIF(B6,B7,"d")</f>
        <v>36</v>
      </c>
    </row>
    <row r="7" spans="1:3" x14ac:dyDescent="0.25">
      <c r="A7" s="7" t="s">
        <v>353</v>
      </c>
      <c r="B7" s="8" t="s">
        <v>354</v>
      </c>
    </row>
    <row r="8" spans="1:3" x14ac:dyDescent="0.25">
      <c r="A8" s="7" t="s">
        <v>355</v>
      </c>
      <c r="B8" s="8" t="s">
        <v>356</v>
      </c>
    </row>
    <row r="9" spans="1:3" x14ac:dyDescent="0.25">
      <c r="A9" s="7" t="s">
        <v>357</v>
      </c>
      <c r="B9" s="8" t="s">
        <v>358</v>
      </c>
      <c r="C9">
        <f t="shared" ref="C9:C70" si="0">DATEDIF(B9,B10,"d")</f>
        <v>40</v>
      </c>
    </row>
    <row r="10" spans="1:3" x14ac:dyDescent="0.25">
      <c r="A10" s="7" t="s">
        <v>359</v>
      </c>
      <c r="B10" s="8" t="s">
        <v>360</v>
      </c>
      <c r="C10">
        <f t="shared" si="0"/>
        <v>53</v>
      </c>
    </row>
    <row r="11" spans="1:3" x14ac:dyDescent="0.25">
      <c r="A11" s="7" t="s">
        <v>361</v>
      </c>
      <c r="B11" s="8" t="s">
        <v>362</v>
      </c>
      <c r="C11">
        <f t="shared" si="0"/>
        <v>66</v>
      </c>
    </row>
    <row r="12" spans="1:3" x14ac:dyDescent="0.25">
      <c r="A12" s="7" t="s">
        <v>363</v>
      </c>
      <c r="B12" s="8" t="s">
        <v>364</v>
      </c>
      <c r="C12">
        <f t="shared" si="0"/>
        <v>152</v>
      </c>
    </row>
    <row r="13" spans="1:3" x14ac:dyDescent="0.25">
      <c r="A13" s="7" t="s">
        <v>365</v>
      </c>
      <c r="B13" s="8" t="s">
        <v>366</v>
      </c>
      <c r="C13">
        <f t="shared" si="0"/>
        <v>84</v>
      </c>
    </row>
    <row r="14" spans="1:3" x14ac:dyDescent="0.25">
      <c r="A14" s="7" t="s">
        <v>367</v>
      </c>
      <c r="B14" s="8" t="s">
        <v>368</v>
      </c>
    </row>
    <row r="15" spans="1:3" x14ac:dyDescent="0.25">
      <c r="A15" s="7" t="s">
        <v>369</v>
      </c>
      <c r="B15" s="8" t="s">
        <v>370</v>
      </c>
      <c r="C15">
        <f t="shared" si="0"/>
        <v>56</v>
      </c>
    </row>
    <row r="16" spans="1:3" x14ac:dyDescent="0.25">
      <c r="A16" s="7" t="s">
        <v>371</v>
      </c>
      <c r="B16" s="8" t="s">
        <v>372</v>
      </c>
      <c r="C16">
        <f t="shared" si="0"/>
        <v>177</v>
      </c>
    </row>
    <row r="17" spans="1:3" x14ac:dyDescent="0.25">
      <c r="A17" s="7" t="s">
        <v>373</v>
      </c>
      <c r="B17" s="8" t="s">
        <v>374</v>
      </c>
    </row>
    <row r="18" spans="1:3" x14ac:dyDescent="0.25">
      <c r="A18" s="7" t="s">
        <v>375</v>
      </c>
      <c r="B18" s="8" t="s">
        <v>376</v>
      </c>
      <c r="C18">
        <f t="shared" si="0"/>
        <v>85</v>
      </c>
    </row>
    <row r="19" spans="1:3" x14ac:dyDescent="0.25">
      <c r="A19" s="7" t="s">
        <v>377</v>
      </c>
      <c r="B19" s="8" t="s">
        <v>378</v>
      </c>
      <c r="C19">
        <f t="shared" si="0"/>
        <v>65</v>
      </c>
    </row>
    <row r="20" spans="1:3" x14ac:dyDescent="0.25">
      <c r="A20" s="7" t="s">
        <v>379</v>
      </c>
      <c r="B20" s="8" t="s">
        <v>380</v>
      </c>
      <c r="C20">
        <f t="shared" si="0"/>
        <v>52</v>
      </c>
    </row>
    <row r="21" spans="1:3" x14ac:dyDescent="0.25">
      <c r="A21" s="7" t="s">
        <v>381</v>
      </c>
      <c r="B21" s="8" t="s">
        <v>382</v>
      </c>
      <c r="C21">
        <f t="shared" si="0"/>
        <v>40</v>
      </c>
    </row>
    <row r="22" spans="1:3" x14ac:dyDescent="0.25">
      <c r="A22" s="7" t="s">
        <v>383</v>
      </c>
      <c r="B22" s="8" t="s">
        <v>384</v>
      </c>
      <c r="C22">
        <f t="shared" si="0"/>
        <v>34</v>
      </c>
    </row>
    <row r="23" spans="1:3" x14ac:dyDescent="0.25">
      <c r="A23" s="7" t="s">
        <v>385</v>
      </c>
      <c r="B23" s="8" t="s">
        <v>386</v>
      </c>
      <c r="C23">
        <f t="shared" si="0"/>
        <v>36</v>
      </c>
    </row>
    <row r="24" spans="1:3" x14ac:dyDescent="0.25">
      <c r="A24" s="7" t="s">
        <v>387</v>
      </c>
      <c r="B24" s="8" t="s">
        <v>388</v>
      </c>
      <c r="C24">
        <f t="shared" si="0"/>
        <v>33</v>
      </c>
    </row>
    <row r="25" spans="1:3" x14ac:dyDescent="0.25">
      <c r="A25" s="7" t="s">
        <v>389</v>
      </c>
      <c r="B25" s="8" t="s">
        <v>390</v>
      </c>
      <c r="C25">
        <f t="shared" si="0"/>
        <v>37</v>
      </c>
    </row>
    <row r="26" spans="1:3" x14ac:dyDescent="0.25">
      <c r="A26" s="7" t="s">
        <v>391</v>
      </c>
      <c r="B26" s="8" t="s">
        <v>392</v>
      </c>
      <c r="C26">
        <f t="shared" si="0"/>
        <v>33</v>
      </c>
    </row>
    <row r="27" spans="1:3" x14ac:dyDescent="0.25">
      <c r="A27" s="7" t="s">
        <v>393</v>
      </c>
      <c r="B27" s="8" t="s">
        <v>394</v>
      </c>
      <c r="C27">
        <f t="shared" si="0"/>
        <v>20</v>
      </c>
    </row>
    <row r="28" spans="1:3" x14ac:dyDescent="0.25">
      <c r="A28" s="7" t="s">
        <v>395</v>
      </c>
      <c r="B28" s="8" t="s">
        <v>396</v>
      </c>
      <c r="C28">
        <f t="shared" si="0"/>
        <v>27</v>
      </c>
    </row>
    <row r="29" spans="1:3" x14ac:dyDescent="0.25">
      <c r="A29" s="7" t="s">
        <v>397</v>
      </c>
      <c r="B29" s="8" t="s">
        <v>398</v>
      </c>
      <c r="C29">
        <f t="shared" si="0"/>
        <v>35</v>
      </c>
    </row>
    <row r="30" spans="1:3" x14ac:dyDescent="0.25">
      <c r="A30" s="7" t="s">
        <v>399</v>
      </c>
      <c r="B30" s="8" t="s">
        <v>400</v>
      </c>
      <c r="C30">
        <f t="shared" si="0"/>
        <v>44</v>
      </c>
    </row>
    <row r="31" spans="1:3" x14ac:dyDescent="0.25">
      <c r="A31" s="7" t="s">
        <v>401</v>
      </c>
      <c r="B31" s="8" t="s">
        <v>402</v>
      </c>
      <c r="C31">
        <f t="shared" si="0"/>
        <v>19</v>
      </c>
    </row>
    <row r="32" spans="1:3" x14ac:dyDescent="0.25">
      <c r="A32" s="7" t="s">
        <v>403</v>
      </c>
      <c r="B32" s="8" t="s">
        <v>404</v>
      </c>
      <c r="C32">
        <f t="shared" si="0"/>
        <v>34</v>
      </c>
    </row>
    <row r="33" spans="1:3" x14ac:dyDescent="0.25">
      <c r="A33" s="7" t="s">
        <v>405</v>
      </c>
      <c r="B33" s="8" t="s">
        <v>406</v>
      </c>
      <c r="C33">
        <f t="shared" si="0"/>
        <v>20</v>
      </c>
    </row>
    <row r="34" spans="1:3" x14ac:dyDescent="0.25">
      <c r="A34" s="7" t="s">
        <v>407</v>
      </c>
      <c r="B34" s="8" t="s">
        <v>408</v>
      </c>
      <c r="C34">
        <f t="shared" si="0"/>
        <v>38</v>
      </c>
    </row>
    <row r="35" spans="1:3" x14ac:dyDescent="0.25">
      <c r="A35" s="7" t="s">
        <v>409</v>
      </c>
      <c r="B35" s="8" t="s">
        <v>410</v>
      </c>
      <c r="C35">
        <f t="shared" si="0"/>
        <v>26</v>
      </c>
    </row>
    <row r="36" spans="1:3" x14ac:dyDescent="0.25">
      <c r="A36" s="7" t="s">
        <v>411</v>
      </c>
      <c r="B36" s="8" t="s">
        <v>412</v>
      </c>
      <c r="C36">
        <f t="shared" si="0"/>
        <v>35</v>
      </c>
    </row>
    <row r="37" spans="1:3" x14ac:dyDescent="0.25">
      <c r="A37" s="7" t="s">
        <v>413</v>
      </c>
      <c r="B37" s="8" t="s">
        <v>414</v>
      </c>
      <c r="C37">
        <f t="shared" si="0"/>
        <v>31</v>
      </c>
    </row>
    <row r="38" spans="1:3" x14ac:dyDescent="0.25">
      <c r="A38" s="7" t="s">
        <v>415</v>
      </c>
      <c r="B38" s="8" t="s">
        <v>416</v>
      </c>
      <c r="C38">
        <f t="shared" si="0"/>
        <v>35</v>
      </c>
    </row>
    <row r="39" spans="1:3" x14ac:dyDescent="0.25">
      <c r="A39" s="7" t="s">
        <v>417</v>
      </c>
      <c r="B39" s="8" t="s">
        <v>418</v>
      </c>
      <c r="C39">
        <f t="shared" si="0"/>
        <v>37</v>
      </c>
    </row>
    <row r="40" spans="1:3" x14ac:dyDescent="0.25">
      <c r="A40" s="7" t="s">
        <v>419</v>
      </c>
      <c r="B40" s="8" t="s">
        <v>420</v>
      </c>
      <c r="C40">
        <f t="shared" si="0"/>
        <v>99</v>
      </c>
    </row>
    <row r="41" spans="1:3" x14ac:dyDescent="0.25">
      <c r="A41" s="7" t="s">
        <v>421</v>
      </c>
      <c r="B41" s="8" t="s">
        <v>422</v>
      </c>
      <c r="C41">
        <f t="shared" si="0"/>
        <v>0</v>
      </c>
    </row>
    <row r="42" spans="1:3" x14ac:dyDescent="0.25">
      <c r="A42" s="7" t="s">
        <v>423</v>
      </c>
      <c r="B42" s="8" t="s">
        <v>422</v>
      </c>
      <c r="C42">
        <f t="shared" si="0"/>
        <v>30</v>
      </c>
    </row>
    <row r="43" spans="1:3" x14ac:dyDescent="0.25">
      <c r="A43" s="7" t="s">
        <v>424</v>
      </c>
      <c r="B43" s="8" t="s">
        <v>425</v>
      </c>
      <c r="C43">
        <f t="shared" si="0"/>
        <v>12</v>
      </c>
    </row>
    <row r="44" spans="1:3" x14ac:dyDescent="0.25">
      <c r="A44" s="7" t="s">
        <v>426</v>
      </c>
      <c r="B44" s="8" t="s">
        <v>427</v>
      </c>
      <c r="C44">
        <f t="shared" si="0"/>
        <v>88</v>
      </c>
    </row>
    <row r="45" spans="1:3" x14ac:dyDescent="0.25">
      <c r="A45" s="7" t="s">
        <v>428</v>
      </c>
      <c r="B45" s="8" t="s">
        <v>429</v>
      </c>
    </row>
    <row r="46" spans="1:3" x14ac:dyDescent="0.25">
      <c r="A46" s="7" t="s">
        <v>430</v>
      </c>
      <c r="B46" s="8" t="s">
        <v>431</v>
      </c>
      <c r="C46">
        <f t="shared" si="0"/>
        <v>60</v>
      </c>
    </row>
    <row r="47" spans="1:3" x14ac:dyDescent="0.25">
      <c r="A47" s="7" t="s">
        <v>432</v>
      </c>
      <c r="B47" s="8" t="s">
        <v>433</v>
      </c>
      <c r="C47">
        <f t="shared" si="0"/>
        <v>70</v>
      </c>
    </row>
    <row r="48" spans="1:3" x14ac:dyDescent="0.25">
      <c r="A48" s="7" t="s">
        <v>434</v>
      </c>
      <c r="B48" s="8" t="s">
        <v>435</v>
      </c>
      <c r="C48">
        <f t="shared" si="0"/>
        <v>57</v>
      </c>
    </row>
    <row r="49" spans="1:3" x14ac:dyDescent="0.25">
      <c r="A49" s="7" t="s">
        <v>436</v>
      </c>
      <c r="B49" s="8" t="s">
        <v>437</v>
      </c>
      <c r="C49">
        <f t="shared" si="0"/>
        <v>66</v>
      </c>
    </row>
    <row r="50" spans="1:3" x14ac:dyDescent="0.25">
      <c r="A50" s="7" t="s">
        <v>438</v>
      </c>
      <c r="B50" s="8" t="s">
        <v>439</v>
      </c>
      <c r="C50">
        <f t="shared" si="0"/>
        <v>335</v>
      </c>
    </row>
    <row r="51" spans="1:3" x14ac:dyDescent="0.25">
      <c r="A51" s="7" t="s">
        <v>440</v>
      </c>
      <c r="B51" s="8" t="s">
        <v>422</v>
      </c>
    </row>
    <row r="52" spans="1:3" x14ac:dyDescent="0.25">
      <c r="A52" s="7" t="s">
        <v>441</v>
      </c>
      <c r="B52" s="8" t="s">
        <v>442</v>
      </c>
      <c r="C52">
        <f t="shared" si="0"/>
        <v>51</v>
      </c>
    </row>
    <row r="53" spans="1:3" x14ac:dyDescent="0.25">
      <c r="A53" s="7" t="s">
        <v>443</v>
      </c>
      <c r="B53" s="8" t="s">
        <v>444</v>
      </c>
      <c r="C53">
        <f t="shared" si="0"/>
        <v>32</v>
      </c>
    </row>
    <row r="54" spans="1:3" x14ac:dyDescent="0.25">
      <c r="A54" s="7" t="s">
        <v>445</v>
      </c>
      <c r="B54" s="8" t="s">
        <v>446</v>
      </c>
      <c r="C54">
        <f t="shared" si="0"/>
        <v>31</v>
      </c>
    </row>
    <row r="55" spans="1:3" x14ac:dyDescent="0.25">
      <c r="A55" s="7" t="s">
        <v>447</v>
      </c>
      <c r="B55" s="8" t="s">
        <v>448</v>
      </c>
      <c r="C55">
        <f t="shared" si="0"/>
        <v>72</v>
      </c>
    </row>
    <row r="56" spans="1:3" x14ac:dyDescent="0.25">
      <c r="A56" s="7" t="s">
        <v>449</v>
      </c>
      <c r="B56" s="8" t="s">
        <v>450</v>
      </c>
    </row>
    <row r="57" spans="1:3" x14ac:dyDescent="0.25">
      <c r="A57" s="7" t="s">
        <v>451</v>
      </c>
      <c r="B57" s="8" t="s">
        <v>452</v>
      </c>
      <c r="C57">
        <f t="shared" si="0"/>
        <v>30</v>
      </c>
    </row>
    <row r="58" spans="1:3" x14ac:dyDescent="0.25">
      <c r="A58" s="7" t="s">
        <v>453</v>
      </c>
      <c r="B58" s="8" t="s">
        <v>454</v>
      </c>
      <c r="C58">
        <f t="shared" si="0"/>
        <v>73</v>
      </c>
    </row>
    <row r="59" spans="1:3" x14ac:dyDescent="0.25">
      <c r="A59" s="7" t="s">
        <v>455</v>
      </c>
      <c r="B59" s="8" t="s">
        <v>422</v>
      </c>
      <c r="C59">
        <f t="shared" si="0"/>
        <v>2</v>
      </c>
    </row>
    <row r="60" spans="1:3" x14ac:dyDescent="0.25">
      <c r="A60" s="7" t="s">
        <v>456</v>
      </c>
      <c r="B60" s="8" t="s">
        <v>457</v>
      </c>
      <c r="C60">
        <f t="shared" si="0"/>
        <v>35</v>
      </c>
    </row>
    <row r="61" spans="1:3" x14ac:dyDescent="0.25">
      <c r="A61" s="7" t="s">
        <v>458</v>
      </c>
      <c r="B61" s="8" t="s">
        <v>459</v>
      </c>
      <c r="C61">
        <f t="shared" si="0"/>
        <v>44</v>
      </c>
    </row>
    <row r="62" spans="1:3" x14ac:dyDescent="0.25">
      <c r="A62" s="7" t="s">
        <v>460</v>
      </c>
      <c r="B62" s="8" t="s">
        <v>461</v>
      </c>
      <c r="C62">
        <f t="shared" si="0"/>
        <v>33</v>
      </c>
    </row>
    <row r="63" spans="1:3" x14ac:dyDescent="0.25">
      <c r="A63" s="7" t="s">
        <v>462</v>
      </c>
      <c r="B63" s="8" t="s">
        <v>463</v>
      </c>
      <c r="C63">
        <f t="shared" si="0"/>
        <v>39</v>
      </c>
    </row>
    <row r="64" spans="1:3" x14ac:dyDescent="0.25">
      <c r="A64" s="7" t="s">
        <v>464</v>
      </c>
      <c r="B64" s="8" t="s">
        <v>465</v>
      </c>
      <c r="C64">
        <f t="shared" si="0"/>
        <v>123</v>
      </c>
    </row>
    <row r="65" spans="1:3" x14ac:dyDescent="0.25">
      <c r="A65" s="7" t="s">
        <v>466</v>
      </c>
      <c r="B65" s="8" t="s">
        <v>467</v>
      </c>
      <c r="C65">
        <f t="shared" si="0"/>
        <v>12</v>
      </c>
    </row>
    <row r="66" spans="1:3" x14ac:dyDescent="0.25">
      <c r="A66" s="7" t="s">
        <v>468</v>
      </c>
      <c r="B66" s="8" t="s">
        <v>469</v>
      </c>
      <c r="C66">
        <f t="shared" si="0"/>
        <v>44</v>
      </c>
    </row>
    <row r="67" spans="1:3" x14ac:dyDescent="0.25">
      <c r="A67" s="7" t="s">
        <v>470</v>
      </c>
      <c r="B67" s="8" t="s">
        <v>471</v>
      </c>
      <c r="C67">
        <f t="shared" si="0"/>
        <v>34</v>
      </c>
    </row>
    <row r="68" spans="1:3" x14ac:dyDescent="0.25">
      <c r="A68" s="7" t="s">
        <v>472</v>
      </c>
      <c r="B68" s="8" t="s">
        <v>473</v>
      </c>
      <c r="C68">
        <f t="shared" si="0"/>
        <v>69</v>
      </c>
    </row>
    <row r="69" spans="1:3" x14ac:dyDescent="0.25">
      <c r="A69" s="7" t="s">
        <v>474</v>
      </c>
      <c r="B69" s="8" t="s">
        <v>475</v>
      </c>
      <c r="C69">
        <f t="shared" si="0"/>
        <v>61</v>
      </c>
    </row>
    <row r="70" spans="1:3" x14ac:dyDescent="0.25">
      <c r="A70" s="7" t="s">
        <v>476</v>
      </c>
      <c r="B70" s="8" t="s">
        <v>477</v>
      </c>
      <c r="C70">
        <f t="shared" si="0"/>
        <v>44</v>
      </c>
    </row>
    <row r="71" spans="1:3" x14ac:dyDescent="0.25">
      <c r="A71" s="7" t="s">
        <v>478</v>
      </c>
      <c r="B71" s="8" t="s">
        <v>479</v>
      </c>
      <c r="C71">
        <f t="shared" ref="C71:C126" si="1">DATEDIF(B71,B72,"d")</f>
        <v>36</v>
      </c>
    </row>
    <row r="72" spans="1:3" x14ac:dyDescent="0.25">
      <c r="A72" s="7" t="s">
        <v>480</v>
      </c>
      <c r="B72" s="8" t="s">
        <v>481</v>
      </c>
      <c r="C72">
        <f t="shared" si="1"/>
        <v>63</v>
      </c>
    </row>
    <row r="73" spans="1:3" x14ac:dyDescent="0.25">
      <c r="A73" s="7" t="s">
        <v>482</v>
      </c>
      <c r="B73" s="8" t="s">
        <v>483</v>
      </c>
      <c r="C73">
        <f t="shared" si="1"/>
        <v>28</v>
      </c>
    </row>
    <row r="74" spans="1:3" x14ac:dyDescent="0.25">
      <c r="A74" s="7" t="s">
        <v>484</v>
      </c>
      <c r="B74" s="8" t="s">
        <v>485</v>
      </c>
      <c r="C74">
        <f t="shared" si="1"/>
        <v>40</v>
      </c>
    </row>
    <row r="75" spans="1:3" x14ac:dyDescent="0.25">
      <c r="A75" s="7" t="s">
        <v>486</v>
      </c>
      <c r="B75" s="8" t="s">
        <v>487</v>
      </c>
      <c r="C75">
        <f t="shared" si="1"/>
        <v>74</v>
      </c>
    </row>
    <row r="76" spans="1:3" x14ac:dyDescent="0.25">
      <c r="A76" s="7" t="s">
        <v>488</v>
      </c>
      <c r="B76" s="8" t="s">
        <v>489</v>
      </c>
    </row>
    <row r="77" spans="1:3" x14ac:dyDescent="0.25">
      <c r="A77" s="7" t="s">
        <v>490</v>
      </c>
      <c r="B77" s="8" t="s">
        <v>422</v>
      </c>
      <c r="C77">
        <f t="shared" si="1"/>
        <v>0</v>
      </c>
    </row>
    <row r="78" spans="1:3" x14ac:dyDescent="0.25">
      <c r="A78" s="7" t="s">
        <v>491</v>
      </c>
      <c r="B78" s="8" t="s">
        <v>422</v>
      </c>
      <c r="C78">
        <f t="shared" si="1"/>
        <v>23</v>
      </c>
    </row>
    <row r="79" spans="1:3" x14ac:dyDescent="0.25">
      <c r="A79" s="7" t="s">
        <v>492</v>
      </c>
      <c r="B79" s="8" t="s">
        <v>493</v>
      </c>
      <c r="C79">
        <f t="shared" si="1"/>
        <v>74</v>
      </c>
    </row>
    <row r="80" spans="1:3" x14ac:dyDescent="0.25">
      <c r="A80" s="7" t="s">
        <v>494</v>
      </c>
      <c r="B80" s="8" t="s">
        <v>495</v>
      </c>
      <c r="C80">
        <f t="shared" si="1"/>
        <v>66</v>
      </c>
    </row>
    <row r="81" spans="1:3" x14ac:dyDescent="0.25">
      <c r="A81" s="7" t="s">
        <v>496</v>
      </c>
      <c r="B81" s="8" t="s">
        <v>497</v>
      </c>
      <c r="C81">
        <f t="shared" si="1"/>
        <v>169</v>
      </c>
    </row>
    <row r="82" spans="1:3" x14ac:dyDescent="0.25">
      <c r="A82" s="7" t="s">
        <v>498</v>
      </c>
      <c r="B82" s="8" t="s">
        <v>471</v>
      </c>
      <c r="C82">
        <f t="shared" si="1"/>
        <v>208</v>
      </c>
    </row>
    <row r="83" spans="1:3" x14ac:dyDescent="0.25">
      <c r="A83" s="7" t="s">
        <v>499</v>
      </c>
      <c r="B83" s="8" t="s">
        <v>479</v>
      </c>
    </row>
    <row r="84" spans="1:3" x14ac:dyDescent="0.25">
      <c r="A84" s="7" t="s">
        <v>500</v>
      </c>
      <c r="B84" s="8" t="s">
        <v>501</v>
      </c>
      <c r="C84">
        <f t="shared" si="1"/>
        <v>97</v>
      </c>
    </row>
    <row r="85" spans="1:3" x14ac:dyDescent="0.25">
      <c r="A85" s="7" t="s">
        <v>502</v>
      </c>
      <c r="B85" s="8" t="s">
        <v>467</v>
      </c>
      <c r="C85">
        <f t="shared" si="1"/>
        <v>0</v>
      </c>
    </row>
    <row r="86" spans="1:3" x14ac:dyDescent="0.25">
      <c r="A86" s="7" t="s">
        <v>503</v>
      </c>
      <c r="B86" s="8" t="s">
        <v>467</v>
      </c>
      <c r="C86">
        <f t="shared" si="1"/>
        <v>617</v>
      </c>
    </row>
    <row r="87" spans="1:3" x14ac:dyDescent="0.25">
      <c r="A87" s="7" t="s">
        <v>504</v>
      </c>
      <c r="B87" s="8" t="s">
        <v>505</v>
      </c>
      <c r="C87">
        <f t="shared" si="1"/>
        <v>60</v>
      </c>
    </row>
    <row r="88" spans="1:3" x14ac:dyDescent="0.25">
      <c r="A88" s="7" t="s">
        <v>506</v>
      </c>
      <c r="B88" s="8" t="s">
        <v>507</v>
      </c>
      <c r="C88">
        <f t="shared" si="1"/>
        <v>100</v>
      </c>
    </row>
    <row r="89" spans="1:3" x14ac:dyDescent="0.25">
      <c r="A89" s="7" t="s">
        <v>508</v>
      </c>
      <c r="B89" s="8" t="s">
        <v>509</v>
      </c>
      <c r="C89">
        <f t="shared" si="1"/>
        <v>70</v>
      </c>
    </row>
    <row r="90" spans="1:3" x14ac:dyDescent="0.25">
      <c r="A90" s="7" t="s">
        <v>510</v>
      </c>
      <c r="B90" s="8" t="s">
        <v>511</v>
      </c>
    </row>
    <row r="91" spans="1:3" x14ac:dyDescent="0.25">
      <c r="A91" s="7" t="s">
        <v>512</v>
      </c>
      <c r="B91" s="8" t="s">
        <v>471</v>
      </c>
      <c r="C91">
        <f t="shared" si="1"/>
        <v>104</v>
      </c>
    </row>
    <row r="92" spans="1:3" x14ac:dyDescent="0.25">
      <c r="A92" s="7" t="s">
        <v>513</v>
      </c>
      <c r="B92" s="8" t="s">
        <v>514</v>
      </c>
      <c r="C92">
        <f t="shared" si="1"/>
        <v>104</v>
      </c>
    </row>
    <row r="93" spans="1:3" x14ac:dyDescent="0.25">
      <c r="A93" s="7" t="s">
        <v>515</v>
      </c>
      <c r="B93" s="8" t="s">
        <v>479</v>
      </c>
      <c r="C93">
        <f t="shared" si="1"/>
        <v>5</v>
      </c>
    </row>
    <row r="94" spans="1:3" x14ac:dyDescent="0.25">
      <c r="A94" s="7" t="s">
        <v>516</v>
      </c>
      <c r="B94" s="8" t="s">
        <v>517</v>
      </c>
      <c r="C94">
        <f t="shared" si="1"/>
        <v>115</v>
      </c>
    </row>
    <row r="95" spans="1:3" x14ac:dyDescent="0.25">
      <c r="A95" s="7" t="s">
        <v>518</v>
      </c>
      <c r="B95" s="8" t="s">
        <v>519</v>
      </c>
      <c r="C95">
        <f t="shared" si="1"/>
        <v>47</v>
      </c>
    </row>
    <row r="96" spans="1:3" x14ac:dyDescent="0.25">
      <c r="A96" s="7" t="s">
        <v>520</v>
      </c>
      <c r="B96" s="8" t="s">
        <v>487</v>
      </c>
      <c r="C96">
        <f t="shared" si="1"/>
        <v>56</v>
      </c>
    </row>
    <row r="97" spans="1:3" x14ac:dyDescent="0.25">
      <c r="A97" s="7" t="s">
        <v>521</v>
      </c>
      <c r="B97" s="8" t="s">
        <v>522</v>
      </c>
      <c r="C97">
        <f t="shared" si="1"/>
        <v>72</v>
      </c>
    </row>
    <row r="98" spans="1:3" x14ac:dyDescent="0.25">
      <c r="A98" s="7" t="s">
        <v>523</v>
      </c>
      <c r="B98" s="8" t="s">
        <v>524</v>
      </c>
    </row>
    <row r="99" spans="1:3" x14ac:dyDescent="0.25">
      <c r="A99" s="7" t="s">
        <v>525</v>
      </c>
      <c r="B99" s="8" t="s">
        <v>526</v>
      </c>
      <c r="C99">
        <f t="shared" si="1"/>
        <v>77</v>
      </c>
    </row>
    <row r="100" spans="1:3" x14ac:dyDescent="0.25">
      <c r="A100" s="7" t="s">
        <v>527</v>
      </c>
      <c r="B100" s="8" t="s">
        <v>479</v>
      </c>
      <c r="C100">
        <f t="shared" si="1"/>
        <v>64</v>
      </c>
    </row>
    <row r="101" spans="1:3" x14ac:dyDescent="0.25">
      <c r="A101" s="7" t="s">
        <v>528</v>
      </c>
      <c r="B101" s="8" t="s">
        <v>529</v>
      </c>
      <c r="C101">
        <f t="shared" si="1"/>
        <v>62</v>
      </c>
    </row>
    <row r="102" spans="1:3" x14ac:dyDescent="0.25">
      <c r="A102" s="7" t="s">
        <v>530</v>
      </c>
      <c r="B102" s="8" t="s">
        <v>531</v>
      </c>
      <c r="C102">
        <f t="shared" si="1"/>
        <v>56</v>
      </c>
    </row>
    <row r="103" spans="1:3" x14ac:dyDescent="0.25">
      <c r="A103" s="7" t="s">
        <v>532</v>
      </c>
      <c r="B103" s="8" t="s">
        <v>533</v>
      </c>
      <c r="C103">
        <f t="shared" si="1"/>
        <v>137</v>
      </c>
    </row>
    <row r="104" spans="1:3" x14ac:dyDescent="0.25">
      <c r="A104" s="7" t="s">
        <v>534</v>
      </c>
      <c r="B104" s="8" t="s">
        <v>535</v>
      </c>
      <c r="C104">
        <f t="shared" si="1"/>
        <v>406</v>
      </c>
    </row>
    <row r="105" spans="1:3" x14ac:dyDescent="0.25">
      <c r="A105" s="7" t="s">
        <v>536</v>
      </c>
      <c r="B105" s="8" t="s">
        <v>537</v>
      </c>
      <c r="C105">
        <f t="shared" si="1"/>
        <v>135</v>
      </c>
    </row>
    <row r="106" spans="1:3" x14ac:dyDescent="0.25">
      <c r="A106" s="7" t="s">
        <v>538</v>
      </c>
      <c r="B106" s="8" t="s">
        <v>539</v>
      </c>
      <c r="C106">
        <f t="shared" si="1"/>
        <v>34</v>
      </c>
    </row>
    <row r="107" spans="1:3" x14ac:dyDescent="0.25">
      <c r="A107" s="7" t="s">
        <v>540</v>
      </c>
      <c r="B107" s="8" t="s">
        <v>541</v>
      </c>
      <c r="C107">
        <f t="shared" si="1"/>
        <v>38</v>
      </c>
    </row>
    <row r="108" spans="1:3" x14ac:dyDescent="0.25">
      <c r="A108" s="7" t="s">
        <v>542</v>
      </c>
      <c r="B108" s="8" t="s">
        <v>543</v>
      </c>
    </row>
    <row r="109" spans="1:3" x14ac:dyDescent="0.25">
      <c r="A109" s="7" t="s">
        <v>544</v>
      </c>
      <c r="B109" s="8" t="s">
        <v>545</v>
      </c>
      <c r="C109">
        <f t="shared" si="1"/>
        <v>260</v>
      </c>
    </row>
    <row r="110" spans="1:3" x14ac:dyDescent="0.25">
      <c r="A110" s="7" t="s">
        <v>546</v>
      </c>
      <c r="B110" s="8" t="s">
        <v>509</v>
      </c>
      <c r="C110">
        <f t="shared" si="1"/>
        <v>212</v>
      </c>
    </row>
    <row r="111" spans="1:3" x14ac:dyDescent="0.25">
      <c r="A111" s="7" t="s">
        <v>547</v>
      </c>
      <c r="B111" s="8" t="s">
        <v>537</v>
      </c>
    </row>
    <row r="112" spans="1:3" x14ac:dyDescent="0.25">
      <c r="A112" s="7" t="s">
        <v>548</v>
      </c>
      <c r="B112" s="8" t="s">
        <v>549</v>
      </c>
      <c r="C112">
        <f t="shared" si="1"/>
        <v>46</v>
      </c>
    </row>
    <row r="113" spans="1:3" x14ac:dyDescent="0.25">
      <c r="A113" s="7" t="s">
        <v>550</v>
      </c>
      <c r="B113" s="8" t="s">
        <v>551</v>
      </c>
      <c r="C113">
        <f t="shared" si="1"/>
        <v>27</v>
      </c>
    </row>
    <row r="114" spans="1:3" x14ac:dyDescent="0.25">
      <c r="A114" s="7" t="s">
        <v>552</v>
      </c>
      <c r="B114" s="8" t="s">
        <v>553</v>
      </c>
      <c r="C114">
        <f t="shared" si="1"/>
        <v>32</v>
      </c>
    </row>
    <row r="115" spans="1:3" x14ac:dyDescent="0.25">
      <c r="A115" s="7" t="s">
        <v>554</v>
      </c>
      <c r="B115" s="8" t="s">
        <v>555</v>
      </c>
      <c r="C115">
        <f t="shared" si="1"/>
        <v>32</v>
      </c>
    </row>
    <row r="116" spans="1:3" x14ac:dyDescent="0.25">
      <c r="A116" s="7" t="s">
        <v>556</v>
      </c>
      <c r="B116" s="8" t="s">
        <v>537</v>
      </c>
      <c r="C116">
        <f t="shared" si="1"/>
        <v>47</v>
      </c>
    </row>
    <row r="117" spans="1:3" x14ac:dyDescent="0.25">
      <c r="A117" s="7" t="s">
        <v>557</v>
      </c>
      <c r="B117" s="8" t="s">
        <v>558</v>
      </c>
      <c r="C117">
        <f t="shared" si="1"/>
        <v>41</v>
      </c>
    </row>
    <row r="118" spans="1:3" x14ac:dyDescent="0.25">
      <c r="A118" s="7" t="s">
        <v>559</v>
      </c>
      <c r="B118" s="8" t="s">
        <v>560</v>
      </c>
      <c r="C118">
        <f t="shared" si="1"/>
        <v>35</v>
      </c>
    </row>
    <row r="119" spans="1:3" x14ac:dyDescent="0.25">
      <c r="A119" s="7" t="s">
        <v>561</v>
      </c>
      <c r="B119" s="8" t="s">
        <v>562</v>
      </c>
      <c r="C119">
        <f t="shared" si="1"/>
        <v>34</v>
      </c>
    </row>
    <row r="120" spans="1:3" x14ac:dyDescent="0.25">
      <c r="A120" s="7" t="s">
        <v>563</v>
      </c>
      <c r="B120" s="8" t="s">
        <v>564</v>
      </c>
      <c r="C120">
        <f t="shared" si="1"/>
        <v>67</v>
      </c>
    </row>
    <row r="121" spans="1:3" x14ac:dyDescent="0.25">
      <c r="A121" s="7" t="s">
        <v>565</v>
      </c>
      <c r="B121" s="8" t="s">
        <v>566</v>
      </c>
    </row>
    <row r="122" spans="1:3" x14ac:dyDescent="0.25">
      <c r="A122" s="7" t="s">
        <v>567</v>
      </c>
      <c r="B122" s="8" t="s">
        <v>537</v>
      </c>
      <c r="C122">
        <f t="shared" si="1"/>
        <v>47</v>
      </c>
    </row>
    <row r="123" spans="1:3" x14ac:dyDescent="0.25">
      <c r="A123" s="7" t="s">
        <v>568</v>
      </c>
      <c r="B123" s="8" t="s">
        <v>558</v>
      </c>
      <c r="C123">
        <f t="shared" si="1"/>
        <v>73</v>
      </c>
    </row>
    <row r="124" spans="1:3" x14ac:dyDescent="0.25">
      <c r="A124" s="7" t="s">
        <v>569</v>
      </c>
      <c r="B124" s="8" t="s">
        <v>570</v>
      </c>
      <c r="C124">
        <f t="shared" si="1"/>
        <v>93</v>
      </c>
    </row>
    <row r="125" spans="1:3" x14ac:dyDescent="0.25">
      <c r="A125" s="7" t="s">
        <v>571</v>
      </c>
      <c r="B125" s="8" t="s">
        <v>572</v>
      </c>
    </row>
    <row r="126" spans="1:3" x14ac:dyDescent="0.25">
      <c r="A126" s="7" t="s">
        <v>573</v>
      </c>
      <c r="B126" s="8" t="s">
        <v>574</v>
      </c>
      <c r="C126">
        <f t="shared" si="1"/>
        <v>105</v>
      </c>
    </row>
    <row r="127" spans="1:3" x14ac:dyDescent="0.25">
      <c r="A127" s="7" t="s">
        <v>575</v>
      </c>
      <c r="B127" s="8" t="s">
        <v>576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2760D-A91B-4B28-9438-5F06C4E8ECDD}">
  <dimension ref="A1:E11"/>
  <sheetViews>
    <sheetView workbookViewId="0">
      <selection activeCell="D1" sqref="D1:D1048576"/>
    </sheetView>
  </sheetViews>
  <sheetFormatPr defaultRowHeight="15" x14ac:dyDescent="0.25"/>
  <cols>
    <col min="2" max="2" width="10.7109375" bestFit="1" customWidth="1"/>
  </cols>
  <sheetData>
    <row r="1" spans="1:5" x14ac:dyDescent="0.25">
      <c r="B1" s="1"/>
      <c r="C1" t="s">
        <v>0</v>
      </c>
      <c r="D1" s="5"/>
      <c r="E1" s="5"/>
    </row>
    <row r="2" spans="1:5" x14ac:dyDescent="0.25">
      <c r="B2" s="1" t="s">
        <v>1</v>
      </c>
      <c r="C2">
        <f>AVERAGE(C6:C174)</f>
        <v>161.80000000000001</v>
      </c>
    </row>
    <row r="3" spans="1:5" x14ac:dyDescent="0.25">
      <c r="B3" s="1" t="s">
        <v>2</v>
      </c>
      <c r="C3">
        <f>MEDIAN(C6:C174)</f>
        <v>37</v>
      </c>
    </row>
    <row r="4" spans="1:5" x14ac:dyDescent="0.25">
      <c r="B4" s="1" t="s">
        <v>3</v>
      </c>
      <c r="C4">
        <f>STDEV(C6:C174)</f>
        <v>307.7250396051644</v>
      </c>
    </row>
    <row r="5" spans="1:5" x14ac:dyDescent="0.25">
      <c r="A5" t="s">
        <v>4</v>
      </c>
      <c r="B5" s="1" t="s">
        <v>5</v>
      </c>
    </row>
    <row r="6" spans="1:5" x14ac:dyDescent="0.25">
      <c r="A6" s="16">
        <v>1.1000000000000001</v>
      </c>
      <c r="B6" s="4">
        <v>40105</v>
      </c>
      <c r="C6">
        <f>DATEDIF(B6,B7,"d")</f>
        <v>0</v>
      </c>
    </row>
    <row r="7" spans="1:5" x14ac:dyDescent="0.25">
      <c r="A7" s="16">
        <v>1.2</v>
      </c>
      <c r="B7" s="4">
        <v>40105</v>
      </c>
      <c r="C7">
        <f t="shared" ref="C7:C10" si="0">DATEDIF(B7,B8,"d")</f>
        <v>37</v>
      </c>
    </row>
    <row r="8" spans="1:5" x14ac:dyDescent="0.25">
      <c r="A8" s="16" t="s">
        <v>567</v>
      </c>
      <c r="B8" s="4">
        <v>40142</v>
      </c>
      <c r="C8">
        <f t="shared" si="0"/>
        <v>9</v>
      </c>
    </row>
    <row r="9" spans="1:5" x14ac:dyDescent="0.25">
      <c r="A9" s="16" t="s">
        <v>568</v>
      </c>
      <c r="B9" s="4">
        <v>40151</v>
      </c>
      <c r="C9">
        <f t="shared" si="0"/>
        <v>52</v>
      </c>
    </row>
    <row r="10" spans="1:5" x14ac:dyDescent="0.25">
      <c r="A10" s="16" t="s">
        <v>569</v>
      </c>
      <c r="B10" s="4">
        <v>40203</v>
      </c>
      <c r="C10">
        <f t="shared" si="0"/>
        <v>711</v>
      </c>
    </row>
    <row r="11" spans="1:5" x14ac:dyDescent="0.25">
      <c r="A11" s="16" t="s">
        <v>341</v>
      </c>
      <c r="B11" s="4">
        <v>40914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EEAF6-0A43-4331-9E2E-DEBC80DC280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OverAll</vt:lpstr>
      <vt:lpstr>OpenChord</vt:lpstr>
      <vt:lpstr>Thrift</vt:lpstr>
      <vt:lpstr>xSocket</vt:lpstr>
      <vt:lpstr>Voldemort</vt:lpstr>
      <vt:lpstr>Zookeeper</vt:lpstr>
      <vt:lpstr>Netty</vt:lpstr>
      <vt:lpstr>Derby</vt:lpstr>
      <vt:lpstr>Karaf</vt:lpstr>
      <vt:lpstr>Cassandra</vt:lpstr>
      <vt:lpstr>HBase</vt:lpstr>
      <vt:lpstr>XNIO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2018-12-20T14:09:50Z</dcterms:created>
  <dcterms:modified xsi:type="dcterms:W3CDTF">2019-02-01T00:37:08Z</dcterms:modified>
</cp:coreProperties>
</file>